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aptop - 2024\Actuary\Excel Ninja Projects\6\"/>
    </mc:Choice>
  </mc:AlternateContent>
  <xr:revisionPtr revIDLastSave="0" documentId="13_ncr:1_{2F0BECB9-A8A6-4B5C-9747-120E793B88A9}" xr6:coauthVersionLast="47" xr6:coauthVersionMax="47" xr10:uidLastSave="{00000000-0000-0000-0000-000000000000}"/>
  <bookViews>
    <workbookView xWindow="-120" yWindow="-120" windowWidth="29040" windowHeight="16440" firstSheet="1" activeTab="1" xr2:uid="{5D57806C-FF20-6B42-9DF8-59469BA0678D}"/>
  </bookViews>
  <sheets>
    <sheet name="2021 Income Statement" sheetId="1" r:id="rId1"/>
    <sheet name="Annual Change Calculator" sheetId="2" r:id="rId2"/>
    <sheet name="Forcast Input" sheetId="3" r:id="rId3"/>
  </sheets>
  <externalReferences>
    <externalReference r:id="rId4"/>
  </externalReferences>
  <definedNames>
    <definedName name="calc_lookup">'[1]Scenario Testing'!$C$7:$E$12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2" l="1"/>
  <c r="D12" i="2" s="1"/>
  <c r="E12" i="2" s="1"/>
  <c r="F12" i="2" s="1"/>
  <c r="G12" i="2" s="1"/>
  <c r="L7" i="2"/>
  <c r="D7" i="2" s="1"/>
  <c r="E7" i="2" s="1"/>
  <c r="F7" i="2" l="1"/>
  <c r="L4" i="2"/>
  <c r="D4" i="2" s="1"/>
  <c r="E4" i="2" s="1"/>
  <c r="F4" i="2" s="1"/>
  <c r="G4" i="2" s="1"/>
  <c r="L3" i="2"/>
  <c r="D3" i="2" s="1"/>
  <c r="E3" i="2" s="1"/>
  <c r="F3" i="2" s="1"/>
  <c r="G3" i="2" s="1"/>
  <c r="L5" i="2"/>
  <c r="D5" i="2" s="1"/>
  <c r="E5" i="2" s="1"/>
  <c r="L10" i="2"/>
  <c r="D10" i="2" s="1"/>
  <c r="E10" i="2" s="1"/>
  <c r="F10" i="2" s="1"/>
  <c r="G10" i="2" s="1"/>
  <c r="L11" i="2"/>
  <c r="D11" i="2" s="1"/>
  <c r="E11" i="2" s="1"/>
  <c r="F11" i="2" s="1"/>
  <c r="G11" i="2" s="1"/>
  <c r="L9" i="2"/>
  <c r="D9" i="2" s="1"/>
  <c r="E9" i="2" s="1"/>
  <c r="L8" i="2"/>
  <c r="D8" i="2" s="1"/>
  <c r="E8" i="2" s="1"/>
  <c r="F8" i="2" s="1"/>
  <c r="G8" i="2" s="1"/>
  <c r="F13" i="1"/>
  <c r="G13" i="1"/>
  <c r="F8" i="1"/>
  <c r="G8" i="1"/>
  <c r="E8" i="1"/>
  <c r="E13" i="1"/>
  <c r="H8" i="1"/>
  <c r="F6" i="1"/>
  <c r="G6" i="1"/>
  <c r="E6" i="1"/>
  <c r="F10" i="1"/>
  <c r="G10" i="1"/>
  <c r="E10" i="1"/>
  <c r="I8" i="1"/>
  <c r="J8" i="1"/>
  <c r="I6" i="1"/>
  <c r="J6" i="1"/>
  <c r="H6" i="1"/>
  <c r="F9" i="2" l="1"/>
  <c r="G9" i="2" s="1"/>
  <c r="E13" i="2"/>
  <c r="F5" i="2"/>
  <c r="E6" i="2"/>
  <c r="E14" i="2" s="1"/>
  <c r="G7" i="2"/>
  <c r="G13" i="2" s="1"/>
  <c r="F13" i="2"/>
  <c r="D13" i="2"/>
  <c r="D6" i="2"/>
  <c r="D14" i="2" s="1"/>
  <c r="G5" i="2" l="1"/>
  <c r="G6" i="2" s="1"/>
  <c r="G14" i="2" s="1"/>
  <c r="F6" i="2"/>
  <c r="F14" i="2" s="1"/>
  <c r="C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tc={4FA05D85-EB73-4959-87C6-77D4018D248A}</author>
  </authors>
  <commentList>
    <comment ref="L12" authorId="0" shapeId="0" xr:uid="{4FA05D85-EB73-4959-87C6-77D4018D248A}">
      <text>
        <t>[Threaded comment]
Your version of Excel allows you to read this threaded comment; however, any edits to it will get removed if the file is opened in a newer version of Excel. Learn more: https://go.microsoft.com/fwlink/?linkid=870924
Comment:
    Annual CHANGE assumption will increase</t>
      </text>
    </comment>
  </commentList>
</comments>
</file>

<file path=xl/sharedStrings.xml><?xml version="1.0" encoding="utf-8"?>
<sst xmlns="http://schemas.openxmlformats.org/spreadsheetml/2006/main" count="75" uniqueCount="33">
  <si>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</si>
  <si>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</si>
  <si>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</si>
  <si>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</si>
  <si>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</si>
  <si>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</si>
  <si>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</si>
  <si>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</si>
  <si>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</si>
  <si>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</si>
  <si>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</si>
  <si>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</si>
  <si>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</si>
  <si>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</si>
  <si>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</si>
  <si>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</si>
  <si>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 Thousands</t>
  </si>
  <si>
    <t>Interest rate</t>
  </si>
  <si>
    <t>Annual Change Assumptions</t>
  </si>
  <si>
    <t>Default Assumptions</t>
  </si>
  <si>
    <t>Original Input</t>
  </si>
  <si>
    <t>Increase</t>
  </si>
  <si>
    <t>Decrease</t>
  </si>
  <si>
    <t>Annual Change Assumption</t>
  </si>
  <si>
    <t>Interest Rate</t>
  </si>
  <si>
    <t>Input</t>
  </si>
  <si>
    <t>Scenario #</t>
  </si>
  <si>
    <t>Total Net Income - Interest Rate 0.2</t>
  </si>
  <si>
    <t>Total Net Income - Interest Rate 0.4</t>
  </si>
  <si>
    <t>Total Net Income - Interest Rate 0.6</t>
  </si>
  <si>
    <t>Total Net Income - Interest Rate 0.8</t>
  </si>
  <si>
    <t>Total Net Income</t>
  </si>
  <si>
    <t>Final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</si>
</sst>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0.00000%"/>
    <numFmt numFmtId="167" formatCode="0.000000%"/>
    <numFmt numFmtId="168" formatCode="0.0000000%"/>
    <numFmt numFmtId="169" formatCode="0.000000"/>
    <numFmt numFmtId="170" formatCode="0.000000000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B7B9"/>
        <bgColor indexed="64"/>
      </patternFill>
    </fill>
    <fill>
      <patternFill patternType="solid">
        <fgColor rgb="FFA2EAE8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00D7D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AFAFC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double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7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2" fillId="0" borderId="8" xfId="0" applyFont="1" applyBorder="1"/>
    <xf numFmtId="0" fontId="2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2" fillId="0" borderId="9" xfId="0" applyFont="1" applyBorder="1"/>
    <xf numFmtId="0" fontId="2" fillId="0" borderId="12" xfId="0" applyFont="1" applyBorder="1"/>
    <xf numFmtId="164" fontId="2" fillId="0" borderId="10" xfId="1" applyNumberFormat="1" applyFont="1" applyBorder="1"/>
    <xf numFmtId="164" fontId="2" fillId="0" borderId="11" xfId="1" applyNumberFormat="1" applyFont="1" applyBorder="1"/>
    <xf numFmtId="9" fontId="0" fillId="0" borderId="0" xfId="2" applyFont="1"/>
    <xf numFmtId="0" fontId="0" fillId="0" borderId="8" xfId="0" applyBorder="1"/>
    <xf numFmtId="164" fontId="0" fillId="0" borderId="1" xfId="1" applyNumberFormat="1" applyFont="1" applyBorder="1"/>
    <xf numFmtId="164" fontId="5" fillId="0" borderId="3" xfId="1" applyNumberFormat="1" applyFont="1" applyBorder="1"/>
    <xf numFmtId="164" fontId="0" fillId="0" borderId="7" xfId="1" applyNumberFormat="1" applyFont="1" applyFill="1" applyBorder="1"/>
    <xf numFmtId="164" fontId="2" fillId="0" borderId="14" xfId="1" applyNumberFormat="1" applyFont="1" applyBorder="1"/>
    <xf numFmtId="164" fontId="0" fillId="0" borderId="15" xfId="1" applyNumberFormat="1" applyFont="1" applyFill="1" applyBorder="1"/>
    <xf numFmtId="164" fontId="0" fillId="0" borderId="16" xfId="1" applyNumberFormat="1" applyFont="1" applyBorder="1"/>
    <xf numFmtId="164" fontId="0" fillId="0" borderId="16" xfId="1" applyNumberFormat="1" applyFont="1" applyFill="1" applyBorder="1"/>
    <xf numFmtId="164" fontId="5" fillId="0" borderId="16" xfId="1" applyNumberFormat="1" applyFont="1" applyBorder="1"/>
    <xf numFmtId="164" fontId="0" fillId="0" borderId="17" xfId="1" applyNumberFormat="1" applyFont="1" applyFill="1" applyBorder="1"/>
    <xf numFmtId="0" fontId="0" fillId="0" borderId="13" xfId="0" applyBorder="1"/>
    <xf numFmtId="0" fontId="2" fillId="3" borderId="8" xfId="0" applyFont="1" applyFill="1" applyBorder="1"/>
    <xf numFmtId="9" fontId="2" fillId="2" borderId="13" xfId="2" applyFont="1" applyFill="1" applyBorder="1"/>
    <xf numFmtId="9" fontId="2" fillId="2" borderId="8" xfId="2" applyFont="1" applyFill="1" applyBorder="1"/>
    <xf numFmtId="9" fontId="2" fillId="3" borderId="8" xfId="2" applyFont="1" applyFill="1" applyBorder="1"/>
    <xf numFmtId="165" fontId="2" fillId="3" borderId="8" xfId="2" applyNumberFormat="1" applyFont="1" applyFill="1" applyBorder="1"/>
    <xf numFmtId="166" fontId="0" fillId="0" borderId="13" xfId="0" applyNumberFormat="1" applyBorder="1"/>
    <xf numFmtId="168" fontId="0" fillId="0" borderId="8" xfId="0" applyNumberFormat="1" applyBorder="1"/>
    <xf numFmtId="167" fontId="6" fillId="0" borderId="8" xfId="0" applyNumberFormat="1" applyFont="1" applyBorder="1"/>
    <xf numFmtId="168" fontId="0" fillId="0" borderId="13" xfId="0" applyNumberFormat="1" applyBorder="1"/>
    <xf numFmtId="0" fontId="0" fillId="4" borderId="8" xfId="0" applyFill="1" applyBorder="1"/>
    <xf numFmtId="0" fontId="0" fillId="5" borderId="8" xfId="0" applyFill="1" applyBorder="1"/>
    <xf numFmtId="169" fontId="0" fillId="0" borderId="0" xfId="0" applyNumberFormat="1"/>
    <xf numFmtId="170" fontId="0" fillId="0" borderId="8" xfId="0" applyNumberFormat="1" applyBorder="1"/>
    <xf numFmtId="170" fontId="0" fillId="0" borderId="0" xfId="0" applyNumberFormat="1"/>
    <xf numFmtId="165" fontId="2" fillId="6" borderId="8" xfId="2" applyNumberFormat="1" applyFont="1" applyFill="1" applyBorder="1"/>
    <xf numFmtId="0" fontId="0" fillId="0" borderId="20" xfId="0" applyBorder="1"/>
    <xf numFmtId="0" fontId="2" fillId="7" borderId="19" xfId="0" applyFont="1" applyFill="1" applyBorder="1"/>
    <xf numFmtId="0" fontId="2" fillId="7" borderId="8" xfId="0" applyFont="1" applyFill="1" applyBorder="1"/>
    <xf numFmtId="0" fontId="2" fillId="8" borderId="8" xfId="0" applyFont="1" applyFill="1" applyBorder="1"/>
    <xf numFmtId="2" fontId="0" fillId="9" borderId="8" xfId="2" applyNumberFormat="1" applyFont="1" applyFill="1" applyBorder="1"/>
    <xf numFmtId="0" fontId="9" fillId="0" borderId="0" xfId="0" applyFont="1" applyAlignment="1">
      <alignment wrapText="1"/>
    </xf>
    <xf numFmtId="0" fontId="9" fillId="0" borderId="21" xfId="0" applyFont="1" applyBorder="1" applyAlignment="1">
      <alignment wrapText="1"/>
    </xf>
    <xf numFmtId="0" fontId="9" fillId="0" borderId="0" xfId="0" applyFont="1"/>
    <xf numFmtId="0" fontId="1" fillId="0" borderId="0" xfId="0" applyFont="1"/>
    <xf numFmtId="0" fontId="1" fillId="0" borderId="21" xfId="0" applyFont="1" applyBorder="1"/>
    <xf numFmtId="0" fontId="9" fillId="0" borderId="18" xfId="0" applyFont="1" applyBorder="1"/>
    <xf numFmtId="0" fontId="1" fillId="0" borderId="18" xfId="0" applyFont="1" applyBorder="1"/>
    <xf numFmtId="0" fontId="1" fillId="0" borderId="20" xfId="0" applyFont="1" applyBorder="1"/>
    <xf numFmtId="0" fontId="2" fillId="0" borderId="0" xfId="0" applyFont="1" applyAlignment="1">
      <alignment horizontal="center" vertical="center" wrapText="1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2" fillId="0" borderId="18" xfId="0" applyFont="1" applyBorder="1" applyAlignment="1"/>
    <xf numFmtId="0" fontId="2" fillId="0" borderId="3" xfId="0" applyFont="1" applyBorder="1" applyAlignment="1"/>
  </cellXfs>
  <cellStyles count="3">
    <cellStyle name="Comma" xfId="1" builtinId="3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99"/>
      <color rgb="FF009999"/>
      <color rgb="FFAFAFC9"/>
      <color rgb="FFDADAE6"/>
      <color rgb="FFCCFFFF"/>
      <color rgb="FFFF7C80"/>
      <color rgb="FF00D7D2"/>
      <color rgb="FFE0E0E0"/>
      <color rgb="FFA2EAE8"/>
      <color rgb="FFFFB7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0</xdr:row>
      <xdr:rowOff>581023</xdr:rowOff>
    </xdr:from>
    <xdr:to>
      <xdr:col>17</xdr:col>
      <xdr:colOff>771525</xdr:colOff>
      <xdr:row>3</xdr:row>
      <xdr:rowOff>171449</xdr:rowOff>
    </xdr:to>
    <xdr:sp macro="[0]!Total_net_inc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C069242-F61A-F035-33CB-C0D7D2704A35}"/>
            </a:ext>
          </a:extLst>
        </xdr:cNvPr>
        <xdr:cNvSpPr/>
      </xdr:nvSpPr>
      <xdr:spPr>
        <a:xfrm>
          <a:off x="15801975" y="581023"/>
          <a:ext cx="2428875" cy="590551"/>
        </a:xfrm>
        <a:prstGeom prst="roundRect">
          <a:avLst/>
        </a:prstGeom>
        <a:solidFill>
          <a:srgbClr val="0099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calculate</a:t>
          </a:r>
          <a:r>
            <a:rPr lang="en-CA" sz="1400" b="1" baseline="0"/>
            <a:t> total net income for 2021 - 2025</a:t>
          </a:r>
          <a:endParaRPr lang="en-CA" sz="1400" b="1"/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752475</xdr:colOff>
      <xdr:row>7</xdr:row>
      <xdr:rowOff>190501</xdr:rowOff>
    </xdr:to>
    <xdr:sp macro="[0]!ClearValu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4198CC6-5052-4FFC-9A96-740F54380B53}"/>
            </a:ext>
          </a:extLst>
        </xdr:cNvPr>
        <xdr:cNvSpPr/>
      </xdr:nvSpPr>
      <xdr:spPr>
        <a:xfrm>
          <a:off x="15782925" y="1400175"/>
          <a:ext cx="2428875" cy="590551"/>
        </a:xfrm>
        <a:prstGeom prst="roundRect">
          <a:avLst/>
        </a:prstGeom>
        <a:solidFill>
          <a:srgbClr val="0066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CA" sz="1400" b="1"/>
            <a:t>clear values</a:t>
          </a:r>
        </a:p>
        <a:p>
          <a:pPr algn="ctr"/>
          <a:endParaRPr lang="en-CA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59e52c942c8d0172/Actuary/Excel%20Ninja%20Projects/5/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okhsareh ghorbani" id="{3FDDD881-9790-4628-8350-C6C336EB5AB7}" userId="59e52c942c8d0172" providerId="Windows Live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2" dT="2024-02-10T03:23:57.09" personId="{3FDDD881-9790-4628-8350-C6C336EB5AB7}" id="{4FA05D85-EB73-4959-87C6-77D4018D248A}">
    <text>Annual CHANGE assumption will increase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20E9-FA75-294E-B851-33629C329712}">
  <sheetPr codeName="Sheet1"/>
  <dimension ref="A1:P16"/>
  <sheetViews>
    <sheetView workbookViewId="0">
      <selection activeCell="E13" sqref="E13"/>
    </sheetView>
  </sheetViews>
  <sheetFormatPr defaultColWidth="11" defaultRowHeight="15.75" x14ac:dyDescent="0.25"/>
  <cols>
    <col min="2" max="2" width="35.625" bestFit="1" customWidth="1"/>
    <col min="3" max="3" width="11.625" bestFit="1" customWidth="1"/>
    <col min="4" max="4" width="18.75" bestFit="1" customWidth="1"/>
    <col min="5" max="10" width="11.5" customWidth="1"/>
  </cols>
  <sheetData>
    <row r="1" spans="1:16" ht="21" x14ac:dyDescent="0.35">
      <c r="D1" s="61" t="s">
        <v>18</v>
      </c>
      <c r="E1" s="61"/>
      <c r="F1" s="61"/>
      <c r="G1" s="61"/>
      <c r="H1" s="61"/>
      <c r="I1" s="61"/>
      <c r="J1" s="61"/>
    </row>
    <row r="2" spans="1:16" ht="28.5" x14ac:dyDescent="0.45">
      <c r="B2" s="1" t="s">
        <v>0</v>
      </c>
      <c r="C2" t="s">
        <v>16</v>
      </c>
      <c r="E2" s="60" t="s">
        <v>17</v>
      </c>
      <c r="F2" s="60"/>
      <c r="G2" s="60"/>
      <c r="H2" s="60"/>
      <c r="I2" s="60"/>
      <c r="J2" s="60"/>
    </row>
    <row r="3" spans="1:16" x14ac:dyDescent="0.25">
      <c r="C3" s="2">
        <v>2021</v>
      </c>
      <c r="D3" s="27" t="s">
        <v>19</v>
      </c>
      <c r="E3" s="28">
        <v>0.02</v>
      </c>
      <c r="F3" s="29">
        <v>0.03</v>
      </c>
      <c r="G3" s="29">
        <v>0.04</v>
      </c>
      <c r="H3" s="29">
        <v>0.05</v>
      </c>
      <c r="I3" s="29">
        <v>0.06</v>
      </c>
      <c r="J3" s="29">
        <v>7.0000000000000007E-2</v>
      </c>
      <c r="P3" s="15"/>
    </row>
    <row r="4" spans="1:16" x14ac:dyDescent="0.25">
      <c r="A4" s="57" t="s">
        <v>1</v>
      </c>
      <c r="B4" s="3" t="s">
        <v>2</v>
      </c>
      <c r="C4" s="17">
        <v>45677</v>
      </c>
      <c r="D4" s="30">
        <v>0.03</v>
      </c>
      <c r="E4" s="26"/>
      <c r="F4" s="16"/>
      <c r="G4" s="16"/>
      <c r="H4" s="16"/>
      <c r="I4" s="16"/>
      <c r="J4" s="16"/>
    </row>
    <row r="5" spans="1:16" x14ac:dyDescent="0.25">
      <c r="A5" s="58"/>
      <c r="B5" s="4" t="s">
        <v>3</v>
      </c>
      <c r="C5" s="18">
        <v>-65007</v>
      </c>
      <c r="D5" s="30">
        <v>0.01</v>
      </c>
      <c r="E5" s="26"/>
      <c r="F5" s="16"/>
      <c r="G5" s="16"/>
      <c r="H5" s="16"/>
      <c r="I5" s="16"/>
      <c r="J5" s="16"/>
    </row>
    <row r="6" spans="1:16" ht="16.5" thickBot="1" x14ac:dyDescent="0.3">
      <c r="A6" s="58"/>
      <c r="B6" s="5" t="s">
        <v>4</v>
      </c>
      <c r="C6" s="19">
        <v>567485</v>
      </c>
      <c r="D6" s="31">
        <v>2E-3</v>
      </c>
      <c r="E6" s="32">
        <f>$D$6-$D$6*0.0025</f>
        <v>1.9950000000000002E-3</v>
      </c>
      <c r="F6" s="32">
        <f t="shared" ref="F6:G6" si="0">$D$6-$D$6*0.0025</f>
        <v>1.9950000000000002E-3</v>
      </c>
      <c r="G6" s="32">
        <f t="shared" si="0"/>
        <v>1.9950000000000002E-3</v>
      </c>
      <c r="H6" s="33">
        <f>$D$6*1.00625</f>
        <v>2.0125000000000004E-3</v>
      </c>
      <c r="I6" s="33">
        <f t="shared" ref="I6:J6" si="1">$D$6*1.00625</f>
        <v>2.0125000000000004E-3</v>
      </c>
      <c r="J6" s="33">
        <f t="shared" si="1"/>
        <v>2.0125000000000004E-3</v>
      </c>
    </row>
    <row r="7" spans="1:16" ht="16.5" thickTop="1" x14ac:dyDescent="0.25">
      <c r="A7" s="59"/>
      <c r="B7" s="7" t="s">
        <v>5</v>
      </c>
      <c r="C7" s="20">
        <v>548155</v>
      </c>
      <c r="D7" s="30"/>
      <c r="E7" s="26"/>
      <c r="F7" s="16"/>
      <c r="G7" s="16"/>
      <c r="H7" s="16"/>
      <c r="I7" s="16"/>
      <c r="J7" s="16"/>
    </row>
    <row r="8" spans="1:16" x14ac:dyDescent="0.25">
      <c r="A8" s="57" t="s">
        <v>6</v>
      </c>
      <c r="B8" s="8" t="s">
        <v>7</v>
      </c>
      <c r="C8" s="21">
        <v>65583</v>
      </c>
      <c r="D8" s="30">
        <v>-0.01</v>
      </c>
      <c r="E8" s="32">
        <f>$D$8+$D$8*0.01</f>
        <v>-1.01E-2</v>
      </c>
      <c r="F8" s="32">
        <f t="shared" ref="F8:G8" si="2">$D$8+$D$8*0.01</f>
        <v>-1.01E-2</v>
      </c>
      <c r="G8" s="32">
        <f t="shared" si="2"/>
        <v>-1.01E-2</v>
      </c>
      <c r="H8" s="34">
        <f>$D$8+ABS($D$8*0.007)</f>
        <v>-9.9299999999999996E-3</v>
      </c>
      <c r="I8" s="34">
        <f t="shared" ref="I8:J8" si="3">$D$8+ABS($D$8*0.007)</f>
        <v>-9.9299999999999996E-3</v>
      </c>
      <c r="J8" s="34">
        <f t="shared" si="3"/>
        <v>-9.9299999999999996E-3</v>
      </c>
    </row>
    <row r="9" spans="1:16" x14ac:dyDescent="0.25">
      <c r="A9" s="58"/>
      <c r="B9" s="9" t="s">
        <v>8</v>
      </c>
      <c r="C9" s="22">
        <v>55478</v>
      </c>
      <c r="D9" s="30">
        <v>0.01</v>
      </c>
      <c r="E9" s="26"/>
      <c r="F9" s="16"/>
      <c r="G9" s="16"/>
      <c r="H9" s="16"/>
      <c r="I9" s="16"/>
      <c r="J9" s="16"/>
    </row>
    <row r="10" spans="1:16" x14ac:dyDescent="0.25">
      <c r="A10" s="58"/>
      <c r="B10" s="9" t="s">
        <v>9</v>
      </c>
      <c r="C10" s="23">
        <v>78965</v>
      </c>
      <c r="D10" s="31">
        <v>5.0000000000000001E-3</v>
      </c>
      <c r="E10" s="32">
        <f>$D$10*1.02</f>
        <v>5.1000000000000004E-3</v>
      </c>
      <c r="F10" s="32">
        <f t="shared" ref="F10:G10" si="4">$D$10*1.02</f>
        <v>5.1000000000000004E-3</v>
      </c>
      <c r="G10" s="32">
        <f t="shared" si="4"/>
        <v>5.1000000000000004E-3</v>
      </c>
      <c r="H10" s="16"/>
      <c r="I10" s="16"/>
      <c r="J10" s="16"/>
    </row>
    <row r="11" spans="1:16" x14ac:dyDescent="0.25">
      <c r="A11" s="58"/>
      <c r="B11" s="9" t="s">
        <v>10</v>
      </c>
      <c r="C11" s="24">
        <v>-2456</v>
      </c>
      <c r="D11" s="31">
        <v>8.9999999999999993E-3</v>
      </c>
      <c r="E11" s="26"/>
      <c r="F11" s="16"/>
      <c r="G11" s="16"/>
      <c r="H11" s="16"/>
      <c r="I11" s="16"/>
      <c r="J11" s="16"/>
    </row>
    <row r="12" spans="1:16" x14ac:dyDescent="0.25">
      <c r="A12" s="58"/>
      <c r="B12" s="9" t="s">
        <v>11</v>
      </c>
      <c r="C12" s="22">
        <v>3456</v>
      </c>
      <c r="D12" s="30">
        <v>0.02</v>
      </c>
      <c r="E12" s="26"/>
      <c r="F12" s="16"/>
      <c r="G12" s="16"/>
      <c r="H12" s="16"/>
      <c r="I12" s="16"/>
      <c r="J12" s="16"/>
    </row>
    <row r="13" spans="1:16" ht="16.5" thickBot="1" x14ac:dyDescent="0.3">
      <c r="A13" s="58"/>
      <c r="B13" s="10" t="s">
        <v>12</v>
      </c>
      <c r="C13" s="25">
        <v>2870</v>
      </c>
      <c r="D13" s="31">
        <v>-7.0000000000000001E-3</v>
      </c>
      <c r="E13" s="35">
        <f>$D$13+$D$13*1.015%</f>
        <v>-7.0710499999999997E-3</v>
      </c>
      <c r="F13" s="35">
        <f t="shared" ref="F13:G13" si="5">$D$13+$D$13*1.015%</f>
        <v>-7.0710499999999997E-3</v>
      </c>
      <c r="G13" s="35">
        <f t="shared" si="5"/>
        <v>-7.0710499999999997E-3</v>
      </c>
      <c r="H13" s="16"/>
      <c r="I13" s="16"/>
      <c r="J13" s="16"/>
    </row>
    <row r="14" spans="1:16" ht="17.25" thickTop="1" thickBot="1" x14ac:dyDescent="0.3">
      <c r="A14" s="59"/>
      <c r="B14" s="11" t="s">
        <v>13</v>
      </c>
      <c r="C14" s="13">
        <v>203896</v>
      </c>
      <c r="G14" s="15"/>
    </row>
    <row r="15" spans="1:16" ht="16.5" thickTop="1" x14ac:dyDescent="0.25">
      <c r="A15" s="6" t="s">
        <v>14</v>
      </c>
      <c r="B15" s="12" t="s">
        <v>15</v>
      </c>
      <c r="C15" s="14">
        <v>344259</v>
      </c>
      <c r="G15" s="15"/>
    </row>
    <row r="16" spans="1:16" x14ac:dyDescent="0.25">
      <c r="G16" s="15"/>
    </row>
  </sheetData>
  <mergeCells count="4">
    <mergeCell ref="A4:A7"/>
    <mergeCell ref="A8:A14"/>
    <mergeCell ref="E2:J2"/>
    <mergeCell ref="D1:J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3E05-A19E-454D-A9F6-CA785E99C867}">
  <sheetPr codeName="Sheet2"/>
  <dimension ref="A1:M26"/>
  <sheetViews>
    <sheetView tabSelected="1" workbookViewId="0">
      <selection activeCell="M14" sqref="M14"/>
    </sheetView>
  </sheetViews>
  <sheetFormatPr defaultRowHeight="15.75" x14ac:dyDescent="0.25"/>
  <cols>
    <col min="1" max="1" width="10.75" bestFit="1" customWidth="1"/>
    <col min="2" max="2" width="35.25" customWidth="1"/>
    <col min="3" max="3" width="13.625" customWidth="1"/>
    <col min="4" max="5" width="11.125" bestFit="1" customWidth="1"/>
    <col min="9" max="9" width="35.625" bestFit="1" customWidth="1"/>
    <col min="12" max="12" width="13.5" bestFit="1" customWidth="1"/>
  </cols>
  <sheetData>
    <row r="1" spans="1:13" ht="28.5" x14ac:dyDescent="0.45">
      <c r="B1" s="1" t="s">
        <v>0</v>
      </c>
      <c r="C1" t="s">
        <v>16</v>
      </c>
      <c r="I1" s="64" t="s">
        <v>23</v>
      </c>
      <c r="J1" s="64"/>
      <c r="K1" s="64"/>
      <c r="L1" s="64"/>
    </row>
    <row r="2" spans="1:13" x14ac:dyDescent="0.25">
      <c r="C2" s="2">
        <v>2021</v>
      </c>
      <c r="D2" s="2">
        <v>2022</v>
      </c>
      <c r="E2" s="2">
        <v>2023</v>
      </c>
      <c r="F2" s="2">
        <v>2024</v>
      </c>
      <c r="G2" s="2">
        <v>2025</v>
      </c>
      <c r="I2" s="42"/>
      <c r="J2" s="62" t="s">
        <v>20</v>
      </c>
      <c r="K2" s="63"/>
      <c r="L2" s="65" t="s">
        <v>32</v>
      </c>
      <c r="M2" s="66"/>
    </row>
    <row r="3" spans="1:13" x14ac:dyDescent="0.25">
      <c r="A3" s="57" t="s">
        <v>1</v>
      </c>
      <c r="B3" s="3" t="s">
        <v>2</v>
      </c>
      <c r="C3" s="17">
        <v>45677</v>
      </c>
      <c r="D3" s="17">
        <f>C3+$L$3*C3</f>
        <v>45220.23</v>
      </c>
      <c r="E3" s="17">
        <f>D3+$L$3*D3</f>
        <v>44768.027700000006</v>
      </c>
      <c r="F3" s="17">
        <f t="shared" ref="F3:G3" si="0">E3+$L$3*E3</f>
        <v>44320.347423000007</v>
      </c>
      <c r="G3" s="17">
        <f t="shared" si="0"/>
        <v>43877.143948770004</v>
      </c>
      <c r="I3" s="43" t="s">
        <v>2</v>
      </c>
      <c r="J3" s="37" t="s">
        <v>21</v>
      </c>
      <c r="K3" s="41">
        <v>-0.01</v>
      </c>
      <c r="L3" s="39">
        <f>K3</f>
        <v>-0.01</v>
      </c>
    </row>
    <row r="4" spans="1:13" x14ac:dyDescent="0.25">
      <c r="A4" s="58"/>
      <c r="B4" s="4" t="s">
        <v>3</v>
      </c>
      <c r="C4" s="18">
        <v>-65007</v>
      </c>
      <c r="D4" s="17">
        <f>C4+$L$4*C4</f>
        <v>-64356.93</v>
      </c>
      <c r="E4" s="17">
        <f>D4+$L$4*D4</f>
        <v>-63713.360699999997</v>
      </c>
      <c r="F4" s="17">
        <f t="shared" ref="F4:G4" si="1">E4+$L$4*E4</f>
        <v>-63076.227092999994</v>
      </c>
      <c r="G4" s="17">
        <f t="shared" si="1"/>
        <v>-62445.464822069996</v>
      </c>
      <c r="I4" s="44" t="s">
        <v>3</v>
      </c>
      <c r="J4" s="37" t="s">
        <v>21</v>
      </c>
      <c r="K4" s="41">
        <v>-0.01</v>
      </c>
      <c r="L4" s="39">
        <f>K4</f>
        <v>-0.01</v>
      </c>
    </row>
    <row r="5" spans="1:13" ht="16.5" thickBot="1" x14ac:dyDescent="0.3">
      <c r="A5" s="58"/>
      <c r="B5" s="5" t="s">
        <v>4</v>
      </c>
      <c r="C5" s="19">
        <v>567485</v>
      </c>
      <c r="D5" s="17">
        <f>C5+$L$5*C5</f>
        <v>578905.635625</v>
      </c>
      <c r="E5" s="17">
        <f>D5+$L$5*D5</f>
        <v>590556.11154195317</v>
      </c>
      <c r="F5" s="17">
        <f t="shared" ref="F5:G5" si="2">E5+$L$5*E5</f>
        <v>602441.05328673497</v>
      </c>
      <c r="G5" s="17">
        <f t="shared" si="2"/>
        <v>614565.17948413047</v>
      </c>
      <c r="I5" s="44" t="s">
        <v>4</v>
      </c>
      <c r="J5" s="37" t="s">
        <v>21</v>
      </c>
      <c r="K5" s="41">
        <v>0.02</v>
      </c>
      <c r="L5" s="39">
        <f>IF(OR($J$16=0.02, $J$16=0.03,$J$16=0.04), K5*0.9975, K5*1.00625)</f>
        <v>2.0125000000000001E-2</v>
      </c>
    </row>
    <row r="6" spans="1:13" ht="16.5" thickTop="1" x14ac:dyDescent="0.25">
      <c r="A6" s="59"/>
      <c r="B6" s="7" t="s">
        <v>5</v>
      </c>
      <c r="C6" s="20">
        <v>548155</v>
      </c>
      <c r="D6" s="20">
        <f>SUM(D3:D5)</f>
        <v>559768.93562500004</v>
      </c>
      <c r="E6" s="20">
        <f>SUM(E3:E5)</f>
        <v>571610.77854195319</v>
      </c>
      <c r="F6" s="20">
        <f t="shared" ref="F6:G6" si="3">SUM(F3:F5)</f>
        <v>583685.17361673503</v>
      </c>
      <c r="G6" s="20">
        <f t="shared" si="3"/>
        <v>595996.8586108305</v>
      </c>
      <c r="I6" s="2"/>
      <c r="K6" s="15"/>
      <c r="L6" s="40"/>
    </row>
    <row r="7" spans="1:13" x14ac:dyDescent="0.25">
      <c r="A7" s="57" t="s">
        <v>6</v>
      </c>
      <c r="B7" s="8" t="s">
        <v>7</v>
      </c>
      <c r="C7" s="21">
        <v>65583</v>
      </c>
      <c r="D7" s="56">
        <f xml:space="preserve"> C7+$L$7*C7</f>
        <v>64280.52162</v>
      </c>
      <c r="E7" s="56">
        <f xml:space="preserve"> D7+$L$7*D7</f>
        <v>63003.910460626801</v>
      </c>
      <c r="F7" s="56">
        <f t="shared" ref="F7:G7" si="4" xml:space="preserve"> E7+$L$7*E7</f>
        <v>61752.652798878757</v>
      </c>
      <c r="G7" s="56">
        <f t="shared" si="4"/>
        <v>60526.245114293022</v>
      </c>
      <c r="I7" s="44" t="s">
        <v>7</v>
      </c>
      <c r="J7" s="36" t="s">
        <v>22</v>
      </c>
      <c r="K7" s="41">
        <v>0.02</v>
      </c>
      <c r="L7" s="39">
        <f>-(IF(OR(J16=0.02, J16=0.03,J16=0.04), K7*1.01, K7*0.993))</f>
        <v>-1.9859999999999999E-2</v>
      </c>
    </row>
    <row r="8" spans="1:13" x14ac:dyDescent="0.25">
      <c r="A8" s="58"/>
      <c r="B8" s="9" t="s">
        <v>8</v>
      </c>
      <c r="C8" s="22">
        <v>55478</v>
      </c>
      <c r="D8" s="56">
        <f xml:space="preserve"> C8+$L$8*C8</f>
        <v>54368.44</v>
      </c>
      <c r="E8" s="56">
        <f xml:space="preserve"> D8+$L$8*D8</f>
        <v>53281.071200000006</v>
      </c>
      <c r="F8" s="56">
        <f t="shared" ref="F8:G8" si="5" xml:space="preserve"> E8+$L$8*E8</f>
        <v>52215.449776000009</v>
      </c>
      <c r="G8" s="56">
        <f t="shared" si="5"/>
        <v>51171.140780480011</v>
      </c>
      <c r="I8" s="44" t="s">
        <v>8</v>
      </c>
      <c r="J8" s="37" t="s">
        <v>21</v>
      </c>
      <c r="K8" s="41">
        <v>-0.02</v>
      </c>
      <c r="L8" s="39">
        <f>K8</f>
        <v>-0.02</v>
      </c>
    </row>
    <row r="9" spans="1:13" x14ac:dyDescent="0.25">
      <c r="A9" s="58"/>
      <c r="B9" s="9" t="s">
        <v>9</v>
      </c>
      <c r="C9" s="23">
        <v>78965</v>
      </c>
      <c r="D9" s="56">
        <f xml:space="preserve"> C9+$L$9*C9</f>
        <v>80575.885999999999</v>
      </c>
      <c r="E9" s="56">
        <f xml:space="preserve"> D9+$L$9*D9</f>
        <v>82219.634074400004</v>
      </c>
      <c r="F9" s="56">
        <f t="shared" ref="F9:G9" si="6" xml:space="preserve"> E9+$L$9*E9</f>
        <v>83896.914609517771</v>
      </c>
      <c r="G9" s="56">
        <f t="shared" si="6"/>
        <v>85608.411667551933</v>
      </c>
      <c r="I9" s="44" t="s">
        <v>9</v>
      </c>
      <c r="J9" s="37" t="s">
        <v>21</v>
      </c>
      <c r="K9" s="41">
        <v>0.02</v>
      </c>
      <c r="L9" s="39">
        <f>IF(OR($J$16=0.02, $J$16=0,3,$J$16=0.04), K9*1.02, K9)</f>
        <v>2.0400000000000001E-2</v>
      </c>
    </row>
    <row r="10" spans="1:13" x14ac:dyDescent="0.25">
      <c r="A10" s="58"/>
      <c r="B10" s="9" t="s">
        <v>10</v>
      </c>
      <c r="C10" s="24">
        <v>-2456</v>
      </c>
      <c r="D10" s="56">
        <f xml:space="preserve"> C10+$L$10*C10</f>
        <v>-2505.12</v>
      </c>
      <c r="E10" s="56">
        <f xml:space="preserve"> D10+$L$10*D10</f>
        <v>-2555.2224000000001</v>
      </c>
      <c r="F10" s="56">
        <f t="shared" ref="F10:G10" si="7" xml:space="preserve"> E10+$L$10*E10</f>
        <v>-2606.3268480000002</v>
      </c>
      <c r="G10" s="56">
        <f t="shared" si="7"/>
        <v>-2658.4533849600002</v>
      </c>
      <c r="I10" s="44" t="s">
        <v>10</v>
      </c>
      <c r="J10" s="37" t="s">
        <v>21</v>
      </c>
      <c r="K10" s="41">
        <v>0.02</v>
      </c>
      <c r="L10" s="39">
        <f>K10</f>
        <v>0.02</v>
      </c>
    </row>
    <row r="11" spans="1:13" x14ac:dyDescent="0.25">
      <c r="A11" s="58"/>
      <c r="B11" s="9" t="s">
        <v>11</v>
      </c>
      <c r="C11" s="22">
        <v>3456</v>
      </c>
      <c r="D11" s="56">
        <f xml:space="preserve"> C11+$L$11*C11</f>
        <v>3352.32</v>
      </c>
      <c r="E11" s="56">
        <f xml:space="preserve"> D11+$L$11*D11</f>
        <v>3251.7504000000004</v>
      </c>
      <c r="F11" s="56">
        <f t="shared" ref="F11:G11" si="8" xml:space="preserve"> E11+$L$11*E11</f>
        <v>3154.1978880000001</v>
      </c>
      <c r="G11" s="56">
        <f t="shared" si="8"/>
        <v>3059.5719513600002</v>
      </c>
      <c r="I11" s="44" t="s">
        <v>11</v>
      </c>
      <c r="J11" s="37" t="s">
        <v>21</v>
      </c>
      <c r="K11" s="41">
        <v>-0.03</v>
      </c>
      <c r="L11" s="39">
        <f>K11</f>
        <v>-0.03</v>
      </c>
    </row>
    <row r="12" spans="1:13" ht="16.5" thickBot="1" x14ac:dyDescent="0.3">
      <c r="A12" s="58"/>
      <c r="B12" s="10" t="s">
        <v>12</v>
      </c>
      <c r="C12" s="25">
        <v>2870</v>
      </c>
      <c r="D12" s="56">
        <f xml:space="preserve"> C12+$L$12*C12</f>
        <v>2697.8</v>
      </c>
      <c r="E12" s="56">
        <f xml:space="preserve"> D12+$L$12*D12</f>
        <v>2535.9320000000002</v>
      </c>
      <c r="F12" s="56">
        <f t="shared" ref="F12:G12" si="9" xml:space="preserve"> E12+$L$12*E12</f>
        <v>2383.7760800000001</v>
      </c>
      <c r="G12" s="56">
        <f t="shared" si="9"/>
        <v>2240.7495152000001</v>
      </c>
      <c r="I12" s="44" t="s">
        <v>12</v>
      </c>
      <c r="J12" s="36" t="s">
        <v>22</v>
      </c>
      <c r="K12" s="41">
        <v>0.06</v>
      </c>
      <c r="L12" s="39">
        <f>-(IF(OR($J$16=0.02, $J$16=0.03,$J$16=0.04), K12*1.015, K12))</f>
        <v>-0.06</v>
      </c>
    </row>
    <row r="13" spans="1:13" ht="17.25" thickTop="1" thickBot="1" x14ac:dyDescent="0.3">
      <c r="A13" s="59"/>
      <c r="B13" s="11" t="s">
        <v>13</v>
      </c>
      <c r="C13" s="13">
        <v>203896</v>
      </c>
      <c r="D13" s="13">
        <f>SUM(D7:D12)</f>
        <v>202769.84762000002</v>
      </c>
      <c r="E13" s="13">
        <f>SUM(E7:E12)</f>
        <v>201737.0757350268</v>
      </c>
      <c r="F13" s="13">
        <f t="shared" ref="F13:G13" si="10">SUM(F7:F12)</f>
        <v>200796.66430439655</v>
      </c>
      <c r="G13" s="13">
        <f t="shared" si="10"/>
        <v>199947.66564392496</v>
      </c>
    </row>
    <row r="14" spans="1:13" ht="16.5" thickTop="1" x14ac:dyDescent="0.25">
      <c r="A14" s="6" t="s">
        <v>14</v>
      </c>
      <c r="B14" s="12" t="s">
        <v>15</v>
      </c>
      <c r="C14" s="14">
        <v>344259</v>
      </c>
      <c r="D14" s="14">
        <f>D6-D13</f>
        <v>356999.08800500003</v>
      </c>
      <c r="E14" s="14">
        <f>E6-E13</f>
        <v>369873.70280692639</v>
      </c>
      <c r="F14" s="14">
        <f t="shared" ref="F14:G14" si="11">F6-F13</f>
        <v>382888.50931233849</v>
      </c>
      <c r="G14" s="14">
        <f t="shared" si="11"/>
        <v>396049.19296690554</v>
      </c>
    </row>
    <row r="15" spans="1:13" x14ac:dyDescent="0.25">
      <c r="J15" t="s">
        <v>25</v>
      </c>
    </row>
    <row r="16" spans="1:13" x14ac:dyDescent="0.25">
      <c r="I16" s="45" t="s">
        <v>24</v>
      </c>
      <c r="J16" s="46">
        <v>0.8</v>
      </c>
    </row>
    <row r="18" spans="2:7" x14ac:dyDescent="0.25">
      <c r="B18" t="s">
        <v>31</v>
      </c>
      <c r="C18" s="56">
        <f>SUM(C14:G14)</f>
        <v>1850069.4930911702</v>
      </c>
    </row>
    <row r="26" spans="2:7" x14ac:dyDescent="0.25">
      <c r="G26" s="38"/>
    </row>
  </sheetData>
  <mergeCells count="4">
    <mergeCell ref="A3:A6"/>
    <mergeCell ref="A7:A13"/>
    <mergeCell ref="J2:K2"/>
    <mergeCell ref="I1:L1"/>
  </mergeCells>
  <dataValidations count="1">
    <dataValidation type="decimal" allowBlank="1" showInputMessage="1" showErrorMessage="1" sqref="J16" xr:uid="{08951613-B2A0-435D-8955-3A86788F2A11}">
      <formula1>0.02</formula1>
      <formula2>0.07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CCD88-2F16-4B22-AD3A-166705ABE563}">
  <sheetPr codeName="Sheet3"/>
  <dimension ref="A1:N101"/>
  <sheetViews>
    <sheetView topLeftCell="H1" workbookViewId="0">
      <selection activeCell="L11" sqref="L11"/>
    </sheetView>
  </sheetViews>
  <sheetFormatPr defaultColWidth="11" defaultRowHeight="15.75" x14ac:dyDescent="0.25"/>
  <cols>
    <col min="1" max="1" width="9" style="49" customWidth="1"/>
    <col min="2" max="10" width="14.125" style="50" customWidth="1"/>
    <col min="11" max="14" width="15" customWidth="1"/>
  </cols>
  <sheetData>
    <row r="1" spans="1:14" ht="47.25" x14ac:dyDescent="0.25">
      <c r="A1" s="47" t="s">
        <v>26</v>
      </c>
      <c r="B1" s="47" t="s">
        <v>2</v>
      </c>
      <c r="C1" s="47" t="s">
        <v>3</v>
      </c>
      <c r="D1" s="47" t="s">
        <v>4</v>
      </c>
      <c r="E1" s="47" t="s">
        <v>7</v>
      </c>
      <c r="F1" s="47" t="s">
        <v>8</v>
      </c>
      <c r="G1" s="47" t="s">
        <v>9</v>
      </c>
      <c r="H1" s="47" t="s">
        <v>10</v>
      </c>
      <c r="I1" s="47" t="s">
        <v>11</v>
      </c>
      <c r="J1" s="48" t="s">
        <v>12</v>
      </c>
      <c r="K1" s="55" t="s">
        <v>27</v>
      </c>
      <c r="L1" s="55" t="s">
        <v>28</v>
      </c>
      <c r="M1" s="55" t="s">
        <v>29</v>
      </c>
      <c r="N1" s="55" t="s">
        <v>30</v>
      </c>
    </row>
    <row r="2" spans="1:14" x14ac:dyDescent="0.25">
      <c r="A2" s="49">
        <v>1</v>
      </c>
      <c r="B2" s="50">
        <v>0.01</v>
      </c>
      <c r="C2" s="50">
        <v>0.03</v>
      </c>
      <c r="D2" s="50">
        <v>-0.01</v>
      </c>
      <c r="E2" s="50">
        <v>-0.05</v>
      </c>
      <c r="F2" s="50">
        <v>0.01</v>
      </c>
      <c r="G2" s="50">
        <v>0.04</v>
      </c>
      <c r="H2" s="50">
        <v>0.06</v>
      </c>
      <c r="I2" s="50">
        <v>0.01</v>
      </c>
      <c r="J2" s="51">
        <v>-0.02</v>
      </c>
      <c r="K2">
        <v>1576529.1963171812</v>
      </c>
      <c r="L2">
        <v>1576529.1963171812</v>
      </c>
      <c r="M2">
        <v>1576529.1963171812</v>
      </c>
      <c r="N2">
        <v>1576529.1963171812</v>
      </c>
    </row>
    <row r="3" spans="1:14" x14ac:dyDescent="0.25">
      <c r="A3" s="49">
        <v>2</v>
      </c>
      <c r="B3" s="50">
        <v>0.05</v>
      </c>
      <c r="C3" s="50">
        <v>0.09</v>
      </c>
      <c r="D3" s="50">
        <v>0.02</v>
      </c>
      <c r="E3" s="50">
        <v>0.04</v>
      </c>
      <c r="F3" s="50">
        <v>0.01</v>
      </c>
      <c r="G3" s="50">
        <v>0.02</v>
      </c>
      <c r="H3" s="50">
        <v>7.0000000000000007E-2</v>
      </c>
      <c r="I3" s="50">
        <v>0.01</v>
      </c>
      <c r="J3" s="51">
        <v>-0.01</v>
      </c>
      <c r="K3">
        <v>1802014.8753932219</v>
      </c>
      <c r="L3">
        <v>1802014.8753932219</v>
      </c>
      <c r="M3">
        <v>1802014.8753932219</v>
      </c>
      <c r="N3">
        <v>1802014.8753932219</v>
      </c>
    </row>
    <row r="4" spans="1:14" x14ac:dyDescent="0.25">
      <c r="A4" s="49">
        <v>3</v>
      </c>
      <c r="B4" s="50">
        <v>0.03</v>
      </c>
      <c r="C4" s="50">
        <v>0.02</v>
      </c>
      <c r="D4" s="50">
        <v>0.03</v>
      </c>
      <c r="E4" s="50">
        <v>-0.04</v>
      </c>
      <c r="F4" s="50">
        <v>7.0000000000000007E-2</v>
      </c>
      <c r="G4" s="50">
        <v>-0.06</v>
      </c>
      <c r="H4" s="50">
        <v>0.02</v>
      </c>
      <c r="I4" s="50">
        <v>-0.03</v>
      </c>
      <c r="J4" s="51">
        <v>0.04</v>
      </c>
      <c r="K4">
        <v>1878025.0196111072</v>
      </c>
      <c r="L4">
        <v>1878025.0196111072</v>
      </c>
      <c r="M4">
        <v>1878025.0196111072</v>
      </c>
      <c r="N4">
        <v>1878025.0196111072</v>
      </c>
    </row>
    <row r="5" spans="1:14" x14ac:dyDescent="0.25">
      <c r="A5" s="49">
        <v>4</v>
      </c>
      <c r="B5" s="50">
        <v>0.03</v>
      </c>
      <c r="C5" s="50">
        <v>-0.08</v>
      </c>
      <c r="D5" s="50">
        <v>0.04</v>
      </c>
      <c r="E5" s="50">
        <v>-0.04</v>
      </c>
      <c r="F5" s="50">
        <v>-0.01</v>
      </c>
      <c r="G5" s="50">
        <v>0.05</v>
      </c>
      <c r="H5" s="50">
        <v>0.02</v>
      </c>
      <c r="I5" s="50">
        <v>0.06</v>
      </c>
      <c r="J5" s="51">
        <v>0.02</v>
      </c>
      <c r="K5">
        <v>1956087.7948206384</v>
      </c>
      <c r="L5">
        <v>1956087.7948206384</v>
      </c>
      <c r="M5">
        <v>1956087.7948206384</v>
      </c>
      <c r="N5">
        <v>1956087.7948206384</v>
      </c>
    </row>
    <row r="6" spans="1:14" x14ac:dyDescent="0.25">
      <c r="A6" s="49">
        <v>5</v>
      </c>
      <c r="B6" s="50">
        <v>0.04</v>
      </c>
      <c r="C6" s="50">
        <v>0.06</v>
      </c>
      <c r="D6" s="50">
        <v>0.02</v>
      </c>
      <c r="E6" s="50">
        <v>-0.02</v>
      </c>
      <c r="F6" s="50">
        <v>7.0000000000000007E-2</v>
      </c>
      <c r="G6" s="50">
        <v>0.05</v>
      </c>
      <c r="H6" s="50">
        <v>0.06</v>
      </c>
      <c r="I6" s="50">
        <v>-0.03</v>
      </c>
      <c r="J6" s="51">
        <v>-0.01</v>
      </c>
      <c r="K6">
        <v>1720390.3477361514</v>
      </c>
      <c r="L6">
        <v>1720390.3477361514</v>
      </c>
      <c r="M6">
        <v>1720390.3477361514</v>
      </c>
      <c r="N6">
        <v>1720390.3477361514</v>
      </c>
    </row>
    <row r="7" spans="1:14" x14ac:dyDescent="0.25">
      <c r="A7" s="49">
        <v>6</v>
      </c>
      <c r="B7" s="50">
        <v>-0.01</v>
      </c>
      <c r="C7" s="50">
        <v>-0.06</v>
      </c>
      <c r="D7" s="50">
        <v>0.03</v>
      </c>
      <c r="E7" s="50">
        <v>-0.05</v>
      </c>
      <c r="F7" s="50">
        <v>7.0000000000000007E-2</v>
      </c>
      <c r="G7" s="50">
        <v>-0.05</v>
      </c>
      <c r="H7" s="50">
        <v>7.0000000000000007E-2</v>
      </c>
      <c r="I7" s="50">
        <v>-0.01</v>
      </c>
      <c r="J7" s="51">
        <v>0.02</v>
      </c>
      <c r="K7">
        <v>1895215.5581951472</v>
      </c>
      <c r="L7">
        <v>1895215.5581951472</v>
      </c>
      <c r="M7">
        <v>1895215.5581951472</v>
      </c>
      <c r="N7">
        <v>1895215.5581951472</v>
      </c>
    </row>
    <row r="8" spans="1:14" x14ac:dyDescent="0.25">
      <c r="A8" s="49">
        <v>7</v>
      </c>
      <c r="B8" s="50">
        <v>0.02</v>
      </c>
      <c r="C8" s="50">
        <v>0.06</v>
      </c>
      <c r="D8" s="50">
        <v>0.05</v>
      </c>
      <c r="E8" s="50">
        <v>0.05</v>
      </c>
      <c r="F8" s="50">
        <v>0.02</v>
      </c>
      <c r="G8" s="50">
        <v>0.03</v>
      </c>
      <c r="H8" s="50">
        <v>-0.01</v>
      </c>
      <c r="I8" s="50">
        <v>0.03</v>
      </c>
      <c r="J8" s="51">
        <v>-0.02</v>
      </c>
      <c r="K8">
        <v>1982299.4162213933</v>
      </c>
      <c r="L8">
        <v>1982299.4162213933</v>
      </c>
      <c r="M8">
        <v>1982299.4162213933</v>
      </c>
      <c r="N8">
        <v>1982299.4162213933</v>
      </c>
    </row>
    <row r="9" spans="1:14" x14ac:dyDescent="0.25">
      <c r="A9" s="49">
        <v>8</v>
      </c>
      <c r="B9" s="50">
        <v>-0.02</v>
      </c>
      <c r="C9" s="50">
        <v>0.04</v>
      </c>
      <c r="D9" s="50">
        <v>0.01</v>
      </c>
      <c r="E9" s="50">
        <v>0.04</v>
      </c>
      <c r="F9" s="50">
        <v>0.02</v>
      </c>
      <c r="G9" s="50">
        <v>7.0000000000000007E-2</v>
      </c>
      <c r="H9" s="50">
        <v>-0.01</v>
      </c>
      <c r="I9" s="50">
        <v>-0.01</v>
      </c>
      <c r="J9" s="51">
        <v>-0.01</v>
      </c>
      <c r="K9">
        <v>1695929.5478547101</v>
      </c>
      <c r="L9">
        <v>1695929.5478547101</v>
      </c>
      <c r="M9">
        <v>1695929.5478547101</v>
      </c>
      <c r="N9">
        <v>1695929.5478547101</v>
      </c>
    </row>
    <row r="10" spans="1:14" x14ac:dyDescent="0.25">
      <c r="A10" s="49">
        <v>9</v>
      </c>
      <c r="B10" s="50">
        <v>-0.02</v>
      </c>
      <c r="C10" s="50">
        <v>-0.08</v>
      </c>
      <c r="D10" s="50">
        <v>7.0000000000000007E-2</v>
      </c>
      <c r="E10" s="50">
        <v>-0.06</v>
      </c>
      <c r="F10" s="50">
        <v>0.03</v>
      </c>
      <c r="G10" s="50">
        <v>0.01</v>
      </c>
      <c r="H10" s="50">
        <v>-0.02</v>
      </c>
      <c r="I10" s="50">
        <v>0.05</v>
      </c>
      <c r="J10" s="51">
        <v>-0.02</v>
      </c>
      <c r="K10">
        <v>2119589.1740357722</v>
      </c>
      <c r="L10">
        <v>2119589.1740357722</v>
      </c>
      <c r="M10">
        <v>2119589.1740357722</v>
      </c>
      <c r="N10">
        <v>2119589.1740357722</v>
      </c>
    </row>
    <row r="11" spans="1:14" x14ac:dyDescent="0.25">
      <c r="A11" s="49">
        <v>10</v>
      </c>
      <c r="B11" s="50">
        <v>0.06</v>
      </c>
      <c r="C11" s="50">
        <v>-0.02</v>
      </c>
      <c r="D11" s="50">
        <v>0.06</v>
      </c>
      <c r="E11" s="50">
        <v>-0.04</v>
      </c>
      <c r="F11" s="50">
        <v>-0.02</v>
      </c>
      <c r="G11" s="50">
        <v>0.06</v>
      </c>
      <c r="H11" s="50">
        <v>0.08</v>
      </c>
      <c r="I11" s="50">
        <v>0.02</v>
      </c>
      <c r="J11" s="51">
        <v>0.02</v>
      </c>
      <c r="K11">
        <v>2061457.1361515624</v>
      </c>
      <c r="L11">
        <v>2061457.1361515624</v>
      </c>
      <c r="M11">
        <v>2061457.1361515624</v>
      </c>
      <c r="N11">
        <v>2061457.1361515624</v>
      </c>
    </row>
    <row r="12" spans="1:14" x14ac:dyDescent="0.25">
      <c r="A12" s="49">
        <v>11</v>
      </c>
      <c r="B12" s="50">
        <v>0.03</v>
      </c>
      <c r="C12" s="50">
        <v>-0.03</v>
      </c>
      <c r="D12" s="50">
        <v>-0.01</v>
      </c>
      <c r="E12" s="50">
        <v>-0.04</v>
      </c>
      <c r="F12" s="50">
        <v>0.02</v>
      </c>
      <c r="G12" s="50">
        <v>-0.01</v>
      </c>
      <c r="H12" s="50">
        <v>7.0000000000000007E-2</v>
      </c>
      <c r="I12" s="50">
        <v>7.0000000000000007E-2</v>
      </c>
      <c r="J12" s="51">
        <v>0.01</v>
      </c>
      <c r="K12">
        <v>1666891.0838254844</v>
      </c>
      <c r="L12">
        <v>1666891.0838254844</v>
      </c>
      <c r="M12">
        <v>1666891.0838254844</v>
      </c>
      <c r="N12">
        <v>1666891.0838254844</v>
      </c>
    </row>
    <row r="13" spans="1:14" x14ac:dyDescent="0.25">
      <c r="A13" s="49">
        <v>12</v>
      </c>
      <c r="B13" s="50">
        <v>-0.02</v>
      </c>
      <c r="C13" s="50">
        <v>-0.03</v>
      </c>
      <c r="D13" s="50">
        <v>0.05</v>
      </c>
      <c r="E13" s="50">
        <v>0.05</v>
      </c>
      <c r="F13" s="50">
        <v>0.06</v>
      </c>
      <c r="G13" s="50">
        <v>0.01</v>
      </c>
      <c r="H13" s="50">
        <v>0.01</v>
      </c>
      <c r="I13" s="50">
        <v>-0.02</v>
      </c>
      <c r="J13" s="51">
        <v>-0.01</v>
      </c>
      <c r="K13">
        <v>2019651.207295011</v>
      </c>
      <c r="L13">
        <v>2019651.207295011</v>
      </c>
      <c r="M13">
        <v>2019651.207295011</v>
      </c>
      <c r="N13">
        <v>2019651.207295011</v>
      </c>
    </row>
    <row r="14" spans="1:14" x14ac:dyDescent="0.25">
      <c r="A14" s="49">
        <v>13</v>
      </c>
      <c r="B14" s="50">
        <v>0.01</v>
      </c>
      <c r="C14" s="50">
        <v>0.02</v>
      </c>
      <c r="D14" s="50">
        <v>-0.01</v>
      </c>
      <c r="E14" s="50">
        <v>0.02</v>
      </c>
      <c r="F14" s="50">
        <v>0.01</v>
      </c>
      <c r="G14" s="50">
        <v>-0.02</v>
      </c>
      <c r="H14" s="50">
        <v>0.02</v>
      </c>
      <c r="I14" s="50">
        <v>7.0000000000000007E-2</v>
      </c>
      <c r="J14" s="51">
        <v>0.05</v>
      </c>
      <c r="K14">
        <v>1678333.3906236964</v>
      </c>
      <c r="L14">
        <v>1678333.3906236964</v>
      </c>
      <c r="M14">
        <v>1678333.3906236964</v>
      </c>
      <c r="N14">
        <v>1678333.3906236964</v>
      </c>
    </row>
    <row r="15" spans="1:14" x14ac:dyDescent="0.25">
      <c r="A15" s="49">
        <v>14</v>
      </c>
      <c r="B15" s="50">
        <v>0.01</v>
      </c>
      <c r="C15" s="50">
        <v>0.02</v>
      </c>
      <c r="D15" s="50">
        <v>-0.01</v>
      </c>
      <c r="E15" s="50">
        <v>-0.06</v>
      </c>
      <c r="F15" s="50">
        <v>0.04</v>
      </c>
      <c r="G15" s="50">
        <v>-0.03</v>
      </c>
      <c r="H15" s="50">
        <v>7.0000000000000007E-2</v>
      </c>
      <c r="I15" s="50">
        <v>-0.02</v>
      </c>
      <c r="J15" s="51">
        <v>0.02</v>
      </c>
      <c r="K15">
        <v>1618062.8812700738</v>
      </c>
      <c r="L15">
        <v>1618062.8812700738</v>
      </c>
      <c r="M15">
        <v>1618062.8812700738</v>
      </c>
      <c r="N15">
        <v>1618062.8812700738</v>
      </c>
    </row>
    <row r="16" spans="1:14" x14ac:dyDescent="0.25">
      <c r="A16" s="49">
        <v>15</v>
      </c>
      <c r="B16" s="50">
        <v>0.01</v>
      </c>
      <c r="C16" s="50">
        <v>7.0000000000000007E-2</v>
      </c>
      <c r="D16" s="50">
        <v>-0.02</v>
      </c>
      <c r="E16" s="50">
        <v>0.05</v>
      </c>
      <c r="F16" s="50">
        <v>0.03</v>
      </c>
      <c r="G16" s="50">
        <v>0.05</v>
      </c>
      <c r="H16" s="50">
        <v>0.01</v>
      </c>
      <c r="I16" s="50">
        <v>0.01</v>
      </c>
      <c r="J16" s="51">
        <v>0.06</v>
      </c>
      <c r="K16">
        <v>1538150.8845138673</v>
      </c>
      <c r="L16">
        <v>1538150.8845138673</v>
      </c>
      <c r="M16">
        <v>1538150.8845138673</v>
      </c>
      <c r="N16">
        <v>1538150.8845138673</v>
      </c>
    </row>
    <row r="17" spans="1:14" x14ac:dyDescent="0.25">
      <c r="A17" s="49">
        <v>16</v>
      </c>
      <c r="B17" s="50">
        <v>0.02</v>
      </c>
      <c r="C17" s="50">
        <v>-0.05</v>
      </c>
      <c r="D17" s="50">
        <v>0.03</v>
      </c>
      <c r="E17" s="50">
        <v>-0.03</v>
      </c>
      <c r="F17" s="50">
        <v>0.02</v>
      </c>
      <c r="G17" s="50">
        <v>-0.04</v>
      </c>
      <c r="H17" s="50">
        <v>7.0000000000000007E-2</v>
      </c>
      <c r="I17" s="50">
        <v>-0.02</v>
      </c>
      <c r="J17" s="51">
        <v>0.06</v>
      </c>
      <c r="K17">
        <v>1941718.2144704477</v>
      </c>
      <c r="L17">
        <v>1941718.2144704477</v>
      </c>
      <c r="M17">
        <v>1941718.2144704477</v>
      </c>
      <c r="N17">
        <v>1941718.2144704477</v>
      </c>
    </row>
    <row r="18" spans="1:14" x14ac:dyDescent="0.25">
      <c r="A18" s="49">
        <v>17</v>
      </c>
      <c r="B18" s="50">
        <v>0.01</v>
      </c>
      <c r="C18" s="50">
        <v>-7.0000000000000007E-2</v>
      </c>
      <c r="D18" s="50">
        <v>7.0000000000000007E-2</v>
      </c>
      <c r="E18" s="50">
        <v>-0.04</v>
      </c>
      <c r="F18" s="50">
        <v>0.05</v>
      </c>
      <c r="G18" s="50">
        <v>0.05</v>
      </c>
      <c r="H18" s="50">
        <v>0.06</v>
      </c>
      <c r="I18" s="50">
        <v>-0.02</v>
      </c>
      <c r="J18" s="51">
        <v>0.02</v>
      </c>
      <c r="K18">
        <v>2101381.3115449306</v>
      </c>
      <c r="L18">
        <v>2101381.3115449306</v>
      </c>
      <c r="M18">
        <v>2101381.3115449306</v>
      </c>
      <c r="N18">
        <v>2101381.3115449306</v>
      </c>
    </row>
    <row r="19" spans="1:14" x14ac:dyDescent="0.25">
      <c r="A19" s="49">
        <v>18</v>
      </c>
      <c r="B19" s="50">
        <v>-0.01</v>
      </c>
      <c r="C19" s="50">
        <v>0.02</v>
      </c>
      <c r="D19" s="50">
        <v>-0.01</v>
      </c>
      <c r="E19" s="50">
        <v>-0.03</v>
      </c>
      <c r="F19" s="50">
        <v>0.06</v>
      </c>
      <c r="G19" s="50">
        <v>0.03</v>
      </c>
      <c r="H19" s="50">
        <v>0.02</v>
      </c>
      <c r="I19" s="50">
        <v>-0.02</v>
      </c>
      <c r="J19" s="51">
        <v>0.04</v>
      </c>
      <c r="K19">
        <v>1568872.254424219</v>
      </c>
      <c r="L19">
        <v>1568872.254424219</v>
      </c>
      <c r="M19">
        <v>1568872.254424219</v>
      </c>
      <c r="N19">
        <v>1568872.254424219</v>
      </c>
    </row>
    <row r="20" spans="1:14" x14ac:dyDescent="0.25">
      <c r="A20" s="49">
        <v>19</v>
      </c>
      <c r="B20" s="50">
        <v>0.04</v>
      </c>
      <c r="C20" s="50">
        <v>7.0000000000000007E-2</v>
      </c>
      <c r="D20" s="50">
        <v>0.02</v>
      </c>
      <c r="E20" s="50">
        <v>0.02</v>
      </c>
      <c r="F20" s="50">
        <v>0.06</v>
      </c>
      <c r="G20" s="50">
        <v>0.05</v>
      </c>
      <c r="H20" s="50">
        <v>-0.01</v>
      </c>
      <c r="I20" s="50">
        <v>0.01</v>
      </c>
      <c r="J20" s="51">
        <v>0.05</v>
      </c>
      <c r="K20">
        <v>1743853.939906518</v>
      </c>
      <c r="L20">
        <v>1743853.939906518</v>
      </c>
      <c r="M20">
        <v>1743853.939906518</v>
      </c>
      <c r="N20">
        <v>1743853.939906518</v>
      </c>
    </row>
    <row r="21" spans="1:14" x14ac:dyDescent="0.25">
      <c r="A21" s="49">
        <v>20</v>
      </c>
      <c r="B21" s="50">
        <v>7.0000000000000007E-2</v>
      </c>
      <c r="C21" s="50">
        <v>0.05</v>
      </c>
      <c r="D21" s="50">
        <v>0.03</v>
      </c>
      <c r="E21" s="50">
        <v>-0.05</v>
      </c>
      <c r="F21" s="50">
        <v>0.03</v>
      </c>
      <c r="G21" s="50">
        <v>0.08</v>
      </c>
      <c r="H21" s="50">
        <v>0.05</v>
      </c>
      <c r="I21" s="50">
        <v>7.0000000000000007E-2</v>
      </c>
      <c r="J21" s="51">
        <v>0.05</v>
      </c>
      <c r="K21">
        <v>1776756.8584056897</v>
      </c>
      <c r="L21">
        <v>1776756.8584056897</v>
      </c>
      <c r="M21">
        <v>1776756.8584056897</v>
      </c>
      <c r="N21">
        <v>1776756.8584056897</v>
      </c>
    </row>
    <row r="22" spans="1:14" x14ac:dyDescent="0.25">
      <c r="A22" s="49">
        <v>21</v>
      </c>
      <c r="B22" s="50">
        <v>0.04</v>
      </c>
      <c r="C22" s="50">
        <v>-0.08</v>
      </c>
      <c r="D22" s="50">
        <v>0.04</v>
      </c>
      <c r="E22" s="50">
        <v>-0.03</v>
      </c>
      <c r="F22" s="50">
        <v>0.01</v>
      </c>
      <c r="G22" s="50">
        <v>0.03</v>
      </c>
      <c r="H22" s="50">
        <v>-0.01</v>
      </c>
      <c r="I22" s="50">
        <v>0.02</v>
      </c>
      <c r="J22" s="51">
        <v>0.04</v>
      </c>
      <c r="K22">
        <v>1975622.2463343511</v>
      </c>
      <c r="L22">
        <v>1975622.2463343511</v>
      </c>
      <c r="M22">
        <v>1975622.2463343511</v>
      </c>
      <c r="N22">
        <v>1975622.2463343511</v>
      </c>
    </row>
    <row r="23" spans="1:14" x14ac:dyDescent="0.25">
      <c r="A23" s="49">
        <v>22</v>
      </c>
      <c r="B23" s="50">
        <v>0.05</v>
      </c>
      <c r="C23" s="50">
        <v>0.02</v>
      </c>
      <c r="D23" s="50">
        <v>0.03</v>
      </c>
      <c r="E23" s="50">
        <v>-0.04</v>
      </c>
      <c r="F23" s="50">
        <v>7.0000000000000007E-2</v>
      </c>
      <c r="G23" s="50">
        <v>0.01</v>
      </c>
      <c r="H23" s="50">
        <v>0.06</v>
      </c>
      <c r="I23" s="50">
        <v>-0.03</v>
      </c>
      <c r="J23" s="51">
        <v>-0.02</v>
      </c>
      <c r="K23">
        <v>1833693.4804460499</v>
      </c>
      <c r="L23">
        <v>1833693.4804460499</v>
      </c>
      <c r="M23">
        <v>1833693.4804460499</v>
      </c>
      <c r="N23">
        <v>1833693.4804460499</v>
      </c>
    </row>
    <row r="24" spans="1:14" x14ac:dyDescent="0.25">
      <c r="A24" s="49">
        <v>23</v>
      </c>
      <c r="B24" s="50">
        <v>0.05</v>
      </c>
      <c r="C24" s="50">
        <v>-0.01</v>
      </c>
      <c r="D24" s="50">
        <v>0.04</v>
      </c>
      <c r="E24" s="50">
        <v>0.03</v>
      </c>
      <c r="F24" s="50">
        <v>-0.01</v>
      </c>
      <c r="G24" s="50">
        <v>0.03</v>
      </c>
      <c r="H24" s="50">
        <v>7.0000000000000007E-2</v>
      </c>
      <c r="I24" s="50">
        <v>0.02</v>
      </c>
      <c r="J24" s="51">
        <v>0.03</v>
      </c>
      <c r="K24">
        <v>1991049.6291869371</v>
      </c>
      <c r="L24">
        <v>1991049.6291869371</v>
      </c>
      <c r="M24">
        <v>1991049.6291869371</v>
      </c>
      <c r="N24">
        <v>1991049.6291869371</v>
      </c>
    </row>
    <row r="25" spans="1:14" x14ac:dyDescent="0.25">
      <c r="A25" s="49">
        <v>24</v>
      </c>
      <c r="B25" s="50">
        <v>-0.01</v>
      </c>
      <c r="C25" s="50">
        <v>0.1</v>
      </c>
      <c r="D25" s="50">
        <v>0.03</v>
      </c>
      <c r="E25" s="50">
        <v>0.01</v>
      </c>
      <c r="F25" s="50">
        <v>0.04</v>
      </c>
      <c r="G25" s="50">
        <v>-0.05</v>
      </c>
      <c r="H25" s="50">
        <v>0.06</v>
      </c>
      <c r="I25" s="50">
        <v>0.01</v>
      </c>
      <c r="J25" s="51">
        <v>-0.03</v>
      </c>
      <c r="K25">
        <v>1843442.800087668</v>
      </c>
      <c r="L25">
        <v>1843442.800087668</v>
      </c>
      <c r="M25">
        <v>1843442.800087668</v>
      </c>
      <c r="N25">
        <v>1843442.800087668</v>
      </c>
    </row>
    <row r="26" spans="1:14" x14ac:dyDescent="0.25">
      <c r="A26" s="49">
        <v>25</v>
      </c>
      <c r="B26" s="50">
        <v>0.04</v>
      </c>
      <c r="C26" s="50">
        <v>-0.04</v>
      </c>
      <c r="D26" s="50">
        <v>0.01</v>
      </c>
      <c r="E26" s="50">
        <v>0.06</v>
      </c>
      <c r="F26" s="50">
        <v>0.02</v>
      </c>
      <c r="G26" s="50">
        <v>0.03</v>
      </c>
      <c r="H26" s="50">
        <v>0.05</v>
      </c>
      <c r="I26" s="50">
        <v>7.0000000000000007E-2</v>
      </c>
      <c r="J26" s="51">
        <v>0.02</v>
      </c>
      <c r="K26">
        <v>1822815.4147697296</v>
      </c>
      <c r="L26">
        <v>1822815.4147697296</v>
      </c>
      <c r="M26">
        <v>1822815.4147697296</v>
      </c>
      <c r="N26">
        <v>1822815.4147697296</v>
      </c>
    </row>
    <row r="27" spans="1:14" x14ac:dyDescent="0.25">
      <c r="A27" s="49">
        <v>26</v>
      </c>
      <c r="B27" s="50">
        <v>0.02</v>
      </c>
      <c r="C27" s="50">
        <v>-7.0000000000000007E-2</v>
      </c>
      <c r="D27" s="50">
        <v>0.04</v>
      </c>
      <c r="E27" s="50">
        <v>-0.06</v>
      </c>
      <c r="F27" s="50">
        <v>0.05</v>
      </c>
      <c r="G27" s="50">
        <v>0.01</v>
      </c>
      <c r="H27" s="50">
        <v>0.05</v>
      </c>
      <c r="I27" s="50">
        <v>0.06</v>
      </c>
      <c r="J27" s="51">
        <v>0.05</v>
      </c>
      <c r="K27">
        <v>1932520.8877167196</v>
      </c>
      <c r="L27">
        <v>1932520.8877167196</v>
      </c>
      <c r="M27">
        <v>1932520.8877167196</v>
      </c>
      <c r="N27">
        <v>1932520.8877167196</v>
      </c>
    </row>
    <row r="28" spans="1:14" x14ac:dyDescent="0.25">
      <c r="A28" s="49">
        <v>27</v>
      </c>
      <c r="B28" s="50">
        <v>0.06</v>
      </c>
      <c r="C28" s="50">
        <v>0.03</v>
      </c>
      <c r="D28" s="50">
        <v>0.03</v>
      </c>
      <c r="E28" s="50">
        <v>7.0000000000000007E-2</v>
      </c>
      <c r="F28" s="50">
        <v>-0.01</v>
      </c>
      <c r="G28" s="50">
        <v>0.03</v>
      </c>
      <c r="H28" s="50">
        <v>0.01</v>
      </c>
      <c r="I28" s="50">
        <v>0.03</v>
      </c>
      <c r="J28" s="51">
        <v>-0.02</v>
      </c>
      <c r="K28">
        <v>1928558.2086248754</v>
      </c>
      <c r="L28">
        <v>1928558.2086248754</v>
      </c>
      <c r="M28">
        <v>1928558.2086248754</v>
      </c>
      <c r="N28">
        <v>1928558.2086248754</v>
      </c>
    </row>
    <row r="29" spans="1:14" x14ac:dyDescent="0.25">
      <c r="A29" s="49">
        <v>28</v>
      </c>
      <c r="B29" s="50">
        <v>7.0000000000000007E-2</v>
      </c>
      <c r="C29" s="50">
        <v>-0.05</v>
      </c>
      <c r="D29" s="50">
        <v>-0.01</v>
      </c>
      <c r="E29" s="50">
        <v>-0.06</v>
      </c>
      <c r="F29" s="50">
        <v>0.02</v>
      </c>
      <c r="G29" s="50">
        <v>-0.04</v>
      </c>
      <c r="H29" s="50">
        <v>-0.02</v>
      </c>
      <c r="I29" s="50">
        <v>-0.01</v>
      </c>
      <c r="J29" s="51">
        <v>0.04</v>
      </c>
      <c r="K29">
        <v>1709074.7831540951</v>
      </c>
      <c r="L29">
        <v>1709074.7831540951</v>
      </c>
      <c r="M29">
        <v>1709074.7831540951</v>
      </c>
      <c r="N29">
        <v>1709074.7831540951</v>
      </c>
    </row>
    <row r="30" spans="1:14" x14ac:dyDescent="0.25">
      <c r="A30" s="49">
        <v>29</v>
      </c>
      <c r="B30" s="50">
        <v>0.08</v>
      </c>
      <c r="C30" s="50">
        <v>0.03</v>
      </c>
      <c r="D30" s="50">
        <v>0.04</v>
      </c>
      <c r="E30" s="50">
        <v>0.02</v>
      </c>
      <c r="F30" s="50">
        <v>7.0000000000000007E-2</v>
      </c>
      <c r="G30" s="50">
        <v>-0.01</v>
      </c>
      <c r="H30" s="50">
        <v>-0.01</v>
      </c>
      <c r="I30" s="50">
        <v>0.06</v>
      </c>
      <c r="J30" s="51">
        <v>0.02</v>
      </c>
      <c r="K30">
        <v>1955785.1244606762</v>
      </c>
      <c r="L30">
        <v>1955785.1244606762</v>
      </c>
      <c r="M30">
        <v>1955785.1244606762</v>
      </c>
      <c r="N30">
        <v>1955785.1244606762</v>
      </c>
    </row>
    <row r="31" spans="1:14" x14ac:dyDescent="0.25">
      <c r="A31" s="49">
        <v>30</v>
      </c>
      <c r="B31" s="50">
        <v>0.02</v>
      </c>
      <c r="C31" s="50">
        <v>0.03</v>
      </c>
      <c r="D31" s="50">
        <v>0.04</v>
      </c>
      <c r="E31" s="50">
        <v>-0.01</v>
      </c>
      <c r="F31" s="50">
        <v>-0.02</v>
      </c>
      <c r="G31" s="50">
        <v>-0.06</v>
      </c>
      <c r="H31" s="50">
        <v>0.04</v>
      </c>
      <c r="I31" s="50">
        <v>-0.02</v>
      </c>
      <c r="J31" s="51">
        <v>-0.01</v>
      </c>
      <c r="K31">
        <v>1999478.8076270134</v>
      </c>
      <c r="L31">
        <v>1999478.8076270134</v>
      </c>
      <c r="M31">
        <v>1999478.8076270134</v>
      </c>
      <c r="N31">
        <v>1999478.8076270134</v>
      </c>
    </row>
    <row r="32" spans="1:14" x14ac:dyDescent="0.25">
      <c r="A32" s="49">
        <v>31</v>
      </c>
      <c r="B32" s="50">
        <v>0.05</v>
      </c>
      <c r="C32" s="50">
        <v>0.03</v>
      </c>
      <c r="D32" s="50">
        <v>0.06</v>
      </c>
      <c r="E32" s="50">
        <v>-0.01</v>
      </c>
      <c r="F32" s="50">
        <v>-0.02</v>
      </c>
      <c r="G32" s="50">
        <v>0.02</v>
      </c>
      <c r="H32" s="50">
        <v>-0.01</v>
      </c>
      <c r="I32" s="50">
        <v>7.0000000000000007E-2</v>
      </c>
      <c r="J32" s="51">
        <v>0.02</v>
      </c>
      <c r="K32">
        <v>2074727.543868979</v>
      </c>
      <c r="L32">
        <v>2074727.543868979</v>
      </c>
      <c r="M32">
        <v>2074727.543868979</v>
      </c>
      <c r="N32">
        <v>2074727.543868979</v>
      </c>
    </row>
    <row r="33" spans="1:14" x14ac:dyDescent="0.25">
      <c r="A33" s="49">
        <v>32</v>
      </c>
      <c r="B33" s="50">
        <v>7.0000000000000007E-2</v>
      </c>
      <c r="C33" s="50">
        <v>-0.03</v>
      </c>
      <c r="D33" s="50">
        <v>0.05</v>
      </c>
      <c r="E33" s="50">
        <v>0.06</v>
      </c>
      <c r="F33" s="50">
        <v>0.05</v>
      </c>
      <c r="G33" s="50">
        <v>0.01</v>
      </c>
      <c r="H33" s="50">
        <v>0.02</v>
      </c>
      <c r="I33" s="50">
        <v>0.06</v>
      </c>
      <c r="J33" s="51">
        <v>-0.03</v>
      </c>
      <c r="K33">
        <v>2071687.1430089513</v>
      </c>
      <c r="L33">
        <v>2071687.1430089513</v>
      </c>
      <c r="M33">
        <v>2071687.1430089513</v>
      </c>
      <c r="N33">
        <v>2071687.1430089513</v>
      </c>
    </row>
    <row r="34" spans="1:14" x14ac:dyDescent="0.25">
      <c r="A34" s="49">
        <v>33</v>
      </c>
      <c r="B34" s="50">
        <v>-0.01</v>
      </c>
      <c r="C34" s="50">
        <v>0.1</v>
      </c>
      <c r="D34" s="50">
        <v>0.04</v>
      </c>
      <c r="E34" s="50">
        <v>0.01</v>
      </c>
      <c r="F34" s="50">
        <v>-0.03</v>
      </c>
      <c r="G34" s="50">
        <v>0.04</v>
      </c>
      <c r="H34" s="50">
        <v>0.05</v>
      </c>
      <c r="I34" s="50">
        <v>0.02</v>
      </c>
      <c r="J34" s="51">
        <v>-0.03</v>
      </c>
      <c r="K34">
        <v>1871465.2658274749</v>
      </c>
      <c r="L34">
        <v>1871465.2658274749</v>
      </c>
      <c r="M34">
        <v>1871465.2658274749</v>
      </c>
      <c r="N34">
        <v>1871465.2658274749</v>
      </c>
    </row>
    <row r="35" spans="1:14" x14ac:dyDescent="0.25">
      <c r="A35" s="49">
        <v>34</v>
      </c>
      <c r="B35" s="50">
        <v>7.0000000000000007E-2</v>
      </c>
      <c r="C35" s="50">
        <v>0.06</v>
      </c>
      <c r="D35" s="50">
        <v>0.05</v>
      </c>
      <c r="E35" s="50">
        <v>0.03</v>
      </c>
      <c r="F35" s="50">
        <v>-0.01</v>
      </c>
      <c r="G35" s="50">
        <v>7.0000000000000007E-2</v>
      </c>
      <c r="H35" s="50">
        <v>0.04</v>
      </c>
      <c r="I35" s="50">
        <v>0.06</v>
      </c>
      <c r="J35" s="51">
        <v>0.06</v>
      </c>
      <c r="K35">
        <v>1978763.3552779981</v>
      </c>
      <c r="L35">
        <v>1978763.3552779981</v>
      </c>
      <c r="M35">
        <v>1978763.3552779981</v>
      </c>
      <c r="N35">
        <v>1978763.3552779981</v>
      </c>
    </row>
    <row r="36" spans="1:14" x14ac:dyDescent="0.25">
      <c r="A36" s="49">
        <v>35</v>
      </c>
      <c r="B36" s="50">
        <v>0.05</v>
      </c>
      <c r="C36" s="50">
        <v>0.01</v>
      </c>
      <c r="D36" s="50">
        <v>0.02</v>
      </c>
      <c r="E36" s="50">
        <v>0.04</v>
      </c>
      <c r="F36" s="50">
        <v>0.02</v>
      </c>
      <c r="G36" s="50">
        <v>-0.05</v>
      </c>
      <c r="H36" s="50">
        <v>-0.01</v>
      </c>
      <c r="I36" s="50">
        <v>0.06</v>
      </c>
      <c r="J36" s="51">
        <v>-0.02</v>
      </c>
      <c r="K36">
        <v>1904221.2955994697</v>
      </c>
      <c r="L36">
        <v>1904221.2955994697</v>
      </c>
      <c r="M36">
        <v>1904221.2955994697</v>
      </c>
      <c r="N36">
        <v>1904221.2955994697</v>
      </c>
    </row>
    <row r="37" spans="1:14" x14ac:dyDescent="0.25">
      <c r="A37" s="49">
        <v>36</v>
      </c>
      <c r="B37" s="50">
        <v>0.04</v>
      </c>
      <c r="C37" s="50">
        <v>-0.02</v>
      </c>
      <c r="D37" s="50">
        <v>0.05</v>
      </c>
      <c r="E37" s="50">
        <v>7.0000000000000007E-2</v>
      </c>
      <c r="F37" s="50">
        <v>0.04</v>
      </c>
      <c r="G37" s="50">
        <v>-0.06</v>
      </c>
      <c r="H37" s="50">
        <v>7.0000000000000007E-2</v>
      </c>
      <c r="I37" s="50">
        <v>0.01</v>
      </c>
      <c r="J37" s="51">
        <v>-0.02</v>
      </c>
      <c r="K37">
        <v>2119098.6408847566</v>
      </c>
      <c r="L37">
        <v>2119098.6408847566</v>
      </c>
      <c r="M37">
        <v>2119098.6408847566</v>
      </c>
      <c r="N37">
        <v>2119098.6408847566</v>
      </c>
    </row>
    <row r="38" spans="1:14" x14ac:dyDescent="0.25">
      <c r="A38" s="49">
        <v>37</v>
      </c>
      <c r="B38" s="50">
        <v>0.03</v>
      </c>
      <c r="C38" s="50">
        <v>0.03</v>
      </c>
      <c r="D38" s="50">
        <v>0.03</v>
      </c>
      <c r="E38" s="50">
        <v>-0.02</v>
      </c>
      <c r="F38" s="50">
        <v>7.0000000000000007E-2</v>
      </c>
      <c r="G38" s="50">
        <v>0.01</v>
      </c>
      <c r="H38" s="50">
        <v>0.05</v>
      </c>
      <c r="I38" s="50">
        <v>0.05</v>
      </c>
      <c r="J38" s="51">
        <v>0.05</v>
      </c>
      <c r="K38">
        <v>1829645.7288268637</v>
      </c>
      <c r="L38">
        <v>1829645.7288268637</v>
      </c>
      <c r="M38">
        <v>1829645.7288268637</v>
      </c>
      <c r="N38">
        <v>1829645.7288268637</v>
      </c>
    </row>
    <row r="39" spans="1:14" x14ac:dyDescent="0.25">
      <c r="A39" s="49">
        <v>38</v>
      </c>
      <c r="B39" s="50">
        <v>0.06</v>
      </c>
      <c r="C39" s="50">
        <v>0.02</v>
      </c>
      <c r="D39" s="50">
        <v>-0.02</v>
      </c>
      <c r="E39" s="50">
        <v>0.04</v>
      </c>
      <c r="F39" s="50">
        <v>0.01</v>
      </c>
      <c r="G39" s="50">
        <v>0.08</v>
      </c>
      <c r="H39" s="50">
        <v>7.0000000000000007E-2</v>
      </c>
      <c r="I39" s="50">
        <v>0.04</v>
      </c>
      <c r="J39" s="51">
        <v>-0.02</v>
      </c>
      <c r="K39">
        <v>1574540.1894722669</v>
      </c>
      <c r="L39">
        <v>1574540.1894722669</v>
      </c>
      <c r="M39">
        <v>1574540.1894722669</v>
      </c>
      <c r="N39">
        <v>1574540.1894722669</v>
      </c>
    </row>
    <row r="40" spans="1:14" x14ac:dyDescent="0.25">
      <c r="A40" s="49">
        <v>39</v>
      </c>
      <c r="B40" s="50">
        <v>-0.01</v>
      </c>
      <c r="C40" s="50">
        <v>0.06</v>
      </c>
      <c r="D40" s="50">
        <v>0.04</v>
      </c>
      <c r="E40" s="50">
        <v>0.01</v>
      </c>
      <c r="F40" s="50">
        <v>-0.02</v>
      </c>
      <c r="G40" s="50">
        <v>-0.04</v>
      </c>
      <c r="H40" s="50">
        <v>0.04</v>
      </c>
      <c r="I40" s="50">
        <v>0.01</v>
      </c>
      <c r="J40" s="51">
        <v>0.03</v>
      </c>
      <c r="K40">
        <v>1962912.8282686356</v>
      </c>
      <c r="L40">
        <v>1962912.8282686356</v>
      </c>
      <c r="M40">
        <v>1962912.8282686356</v>
      </c>
      <c r="N40">
        <v>1962912.8282686356</v>
      </c>
    </row>
    <row r="41" spans="1:14" x14ac:dyDescent="0.25">
      <c r="A41" s="49">
        <v>40</v>
      </c>
      <c r="B41" s="50">
        <v>0.05</v>
      </c>
      <c r="C41" s="50">
        <v>0.04</v>
      </c>
      <c r="D41" s="50">
        <v>0.03</v>
      </c>
      <c r="E41" s="50">
        <v>0.05</v>
      </c>
      <c r="F41" s="50">
        <v>0.02</v>
      </c>
      <c r="G41" s="50">
        <v>-0.02</v>
      </c>
      <c r="H41" s="50">
        <v>0.01</v>
      </c>
      <c r="I41" s="50">
        <v>0.06</v>
      </c>
      <c r="J41" s="51">
        <v>0.06</v>
      </c>
      <c r="K41">
        <v>1929916.6953112641</v>
      </c>
      <c r="L41">
        <v>1929916.6953112641</v>
      </c>
      <c r="M41">
        <v>1929916.6953112641</v>
      </c>
      <c r="N41">
        <v>1929916.6953112641</v>
      </c>
    </row>
    <row r="42" spans="1:14" x14ac:dyDescent="0.25">
      <c r="A42" s="49">
        <v>41</v>
      </c>
      <c r="B42" s="50">
        <v>-0.02</v>
      </c>
      <c r="C42" s="50">
        <v>-0.06</v>
      </c>
      <c r="D42" s="50">
        <v>0.06</v>
      </c>
      <c r="E42" s="50">
        <v>-0.05</v>
      </c>
      <c r="F42" s="50">
        <v>-7.0000000000000007E-2</v>
      </c>
      <c r="G42" s="50">
        <v>-0.02</v>
      </c>
      <c r="H42" s="50">
        <v>0.03</v>
      </c>
      <c r="I42" s="50">
        <v>0.06</v>
      </c>
      <c r="J42" s="51">
        <v>-0.01</v>
      </c>
      <c r="K42">
        <v>2129052.4180887272</v>
      </c>
      <c r="L42">
        <v>2129052.4180887272</v>
      </c>
      <c r="M42">
        <v>2129052.4180887272</v>
      </c>
      <c r="N42">
        <v>2129052.4180887272</v>
      </c>
    </row>
    <row r="43" spans="1:14" x14ac:dyDescent="0.25">
      <c r="A43" s="49">
        <v>42</v>
      </c>
      <c r="B43" s="50">
        <v>0.01</v>
      </c>
      <c r="C43" s="50">
        <v>-0.01</v>
      </c>
      <c r="D43" s="50">
        <v>7.0000000000000007E-2</v>
      </c>
      <c r="E43" s="50">
        <v>0.06</v>
      </c>
      <c r="F43" s="50">
        <v>0.05</v>
      </c>
      <c r="G43" s="50">
        <v>0.04</v>
      </c>
      <c r="H43" s="50">
        <v>-0.04</v>
      </c>
      <c r="I43" s="50">
        <v>0.02</v>
      </c>
      <c r="J43" s="51">
        <v>-0.03</v>
      </c>
      <c r="K43">
        <v>2132786.2280863235</v>
      </c>
      <c r="L43">
        <v>2132786.2280863235</v>
      </c>
      <c r="M43">
        <v>2132786.2280863235</v>
      </c>
      <c r="N43">
        <v>2132786.2280863235</v>
      </c>
    </row>
    <row r="44" spans="1:14" x14ac:dyDescent="0.25">
      <c r="A44" s="49">
        <v>43</v>
      </c>
      <c r="B44" s="50">
        <v>0.03</v>
      </c>
      <c r="C44" s="50">
        <v>0.05</v>
      </c>
      <c r="D44" s="50">
        <v>7.0000000000000007E-2</v>
      </c>
      <c r="E44" s="50">
        <v>0.06</v>
      </c>
      <c r="F44" s="50">
        <v>0.01</v>
      </c>
      <c r="G44" s="50">
        <v>-0.06</v>
      </c>
      <c r="H44" s="50">
        <v>0.05</v>
      </c>
      <c r="I44" s="50">
        <v>-0.01</v>
      </c>
      <c r="J44" s="51">
        <v>0.04</v>
      </c>
      <c r="K44">
        <v>2209534.6989288544</v>
      </c>
      <c r="L44">
        <v>2209534.6989288544</v>
      </c>
      <c r="M44">
        <v>2209534.6989288544</v>
      </c>
      <c r="N44">
        <v>2209534.6989288544</v>
      </c>
    </row>
    <row r="45" spans="1:14" x14ac:dyDescent="0.25">
      <c r="A45" s="49">
        <v>44</v>
      </c>
      <c r="B45" s="50">
        <v>0.02</v>
      </c>
      <c r="C45" s="50">
        <v>0.06</v>
      </c>
      <c r="D45" s="50">
        <v>0.08</v>
      </c>
      <c r="E45" s="50">
        <v>7.0000000000000007E-2</v>
      </c>
      <c r="F45" s="50">
        <v>0.02</v>
      </c>
      <c r="G45" s="50">
        <v>7.0000000000000007E-2</v>
      </c>
      <c r="H45" s="50">
        <v>-0.01</v>
      </c>
      <c r="I45" s="50">
        <v>0.05</v>
      </c>
      <c r="J45" s="51">
        <v>0.05</v>
      </c>
      <c r="K45">
        <v>2154263.0889571593</v>
      </c>
      <c r="L45">
        <v>2154263.0889571593</v>
      </c>
      <c r="M45">
        <v>2154263.0889571593</v>
      </c>
      <c r="N45">
        <v>2154263.0889571593</v>
      </c>
    </row>
    <row r="46" spans="1:14" x14ac:dyDescent="0.25">
      <c r="A46" s="49">
        <v>45</v>
      </c>
      <c r="B46" s="50">
        <v>0.04</v>
      </c>
      <c r="C46" s="50">
        <v>0.06</v>
      </c>
      <c r="D46" s="50">
        <v>0.06</v>
      </c>
      <c r="E46" s="50">
        <v>0.04</v>
      </c>
      <c r="F46" s="50">
        <v>0.04</v>
      </c>
      <c r="G46" s="50">
        <v>-0.04</v>
      </c>
      <c r="H46" s="50">
        <v>7.0000000000000007E-2</v>
      </c>
      <c r="I46" s="50">
        <v>0.01</v>
      </c>
      <c r="J46" s="51">
        <v>0.05</v>
      </c>
      <c r="K46">
        <v>2098560.6687328597</v>
      </c>
      <c r="L46">
        <v>2098560.6687328597</v>
      </c>
      <c r="M46">
        <v>2098560.6687328597</v>
      </c>
      <c r="N46">
        <v>2098560.6687328597</v>
      </c>
    </row>
    <row r="47" spans="1:14" x14ac:dyDescent="0.25">
      <c r="A47" s="49">
        <v>46</v>
      </c>
      <c r="B47" s="50">
        <v>-0.02</v>
      </c>
      <c r="C47" s="50">
        <v>0.02</v>
      </c>
      <c r="D47" s="50">
        <v>0.01</v>
      </c>
      <c r="E47" s="50">
        <v>0.03</v>
      </c>
      <c r="F47" s="50">
        <v>-0.01</v>
      </c>
      <c r="G47" s="50">
        <v>0.06</v>
      </c>
      <c r="H47" s="50">
        <v>0.06</v>
      </c>
      <c r="I47" s="50">
        <v>-0.02</v>
      </c>
      <c r="J47" s="51">
        <v>0.06</v>
      </c>
      <c r="K47">
        <v>1733701.6844828301</v>
      </c>
      <c r="L47">
        <v>1733701.6844828301</v>
      </c>
      <c r="M47">
        <v>1733701.6844828301</v>
      </c>
      <c r="N47">
        <v>1733701.6844828301</v>
      </c>
    </row>
    <row r="48" spans="1:14" x14ac:dyDescent="0.25">
      <c r="A48" s="49">
        <v>47</v>
      </c>
      <c r="B48" s="50">
        <v>7.0000000000000007E-2</v>
      </c>
      <c r="C48" s="50">
        <v>-0.01</v>
      </c>
      <c r="D48" s="50">
        <v>0.01</v>
      </c>
      <c r="E48" s="50">
        <v>0.08</v>
      </c>
      <c r="F48" s="50">
        <v>0.01</v>
      </c>
      <c r="G48" s="50">
        <v>0.03</v>
      </c>
      <c r="H48" s="50">
        <v>-0.01</v>
      </c>
      <c r="I48" s="50">
        <v>7.0000000000000007E-2</v>
      </c>
      <c r="J48" s="51">
        <v>7.0000000000000007E-2</v>
      </c>
      <c r="K48">
        <v>1836343.246433126</v>
      </c>
      <c r="L48">
        <v>1836343.246433126</v>
      </c>
      <c r="M48">
        <v>1836343.246433126</v>
      </c>
      <c r="N48">
        <v>1836343.246433126</v>
      </c>
    </row>
    <row r="49" spans="1:14" x14ac:dyDescent="0.25">
      <c r="A49" s="49">
        <v>48</v>
      </c>
      <c r="B49" s="50">
        <v>-0.02</v>
      </c>
      <c r="C49" s="50">
        <v>-0.05</v>
      </c>
      <c r="D49" s="50">
        <v>0.03</v>
      </c>
      <c r="E49" s="50">
        <v>-0.06</v>
      </c>
      <c r="F49" s="50">
        <v>0.03</v>
      </c>
      <c r="G49" s="50">
        <v>-0.04</v>
      </c>
      <c r="H49" s="50">
        <v>-0.01</v>
      </c>
      <c r="I49" s="50">
        <v>0.04</v>
      </c>
      <c r="J49" s="51">
        <v>-0.01</v>
      </c>
      <c r="K49">
        <v>1890153.6699606781</v>
      </c>
      <c r="L49">
        <v>1890153.6699606781</v>
      </c>
      <c r="M49">
        <v>1890153.6699606781</v>
      </c>
      <c r="N49">
        <v>1890153.6699606781</v>
      </c>
    </row>
    <row r="50" spans="1:14" x14ac:dyDescent="0.25">
      <c r="A50" s="49">
        <v>49</v>
      </c>
      <c r="B50" s="50">
        <v>0.02</v>
      </c>
      <c r="C50" s="50">
        <v>7.0000000000000007E-2</v>
      </c>
      <c r="D50" s="50">
        <v>-0.01</v>
      </c>
      <c r="E50" s="50">
        <v>0.05</v>
      </c>
      <c r="F50" s="50">
        <v>-0.01</v>
      </c>
      <c r="G50" s="50">
        <v>0.04</v>
      </c>
      <c r="H50" s="50">
        <v>0.02</v>
      </c>
      <c r="I50" s="50">
        <v>0.04</v>
      </c>
      <c r="J50" s="51">
        <v>0.03</v>
      </c>
      <c r="K50">
        <v>1628096.411895239</v>
      </c>
      <c r="L50">
        <v>1628096.411895239</v>
      </c>
      <c r="M50">
        <v>1628096.411895239</v>
      </c>
      <c r="N50">
        <v>1628096.411895239</v>
      </c>
    </row>
    <row r="51" spans="1:14" x14ac:dyDescent="0.25">
      <c r="A51" s="49">
        <v>50</v>
      </c>
      <c r="B51" s="50">
        <v>0.04</v>
      </c>
      <c r="C51" s="50">
        <v>-0.03</v>
      </c>
      <c r="D51" s="50">
        <v>0.05</v>
      </c>
      <c r="E51" s="50">
        <v>-0.04</v>
      </c>
      <c r="F51" s="50">
        <v>-0.01</v>
      </c>
      <c r="G51" s="50">
        <v>0.06</v>
      </c>
      <c r="H51" s="50">
        <v>-0.02</v>
      </c>
      <c r="I51" s="50">
        <v>0.06</v>
      </c>
      <c r="J51" s="51">
        <v>0.03</v>
      </c>
      <c r="K51">
        <v>1984647.182673038</v>
      </c>
      <c r="L51">
        <v>1984647.182673038</v>
      </c>
      <c r="M51">
        <v>1984647.182673038</v>
      </c>
      <c r="N51">
        <v>1984647.182673038</v>
      </c>
    </row>
    <row r="52" spans="1:14" x14ac:dyDescent="0.25">
      <c r="A52" s="49">
        <v>51</v>
      </c>
      <c r="B52" s="50">
        <v>0.03</v>
      </c>
      <c r="C52" s="50">
        <v>0.06</v>
      </c>
      <c r="D52" s="50">
        <v>-0.02</v>
      </c>
      <c r="E52" s="50">
        <v>-0.03</v>
      </c>
      <c r="F52" s="50">
        <v>7.0000000000000007E-2</v>
      </c>
      <c r="G52" s="50">
        <v>-0.02</v>
      </c>
      <c r="H52" s="50">
        <v>-0.02</v>
      </c>
      <c r="I52" s="50">
        <v>0.05</v>
      </c>
      <c r="J52" s="51">
        <v>7.0000000000000007E-2</v>
      </c>
      <c r="K52">
        <v>1535650.2439407923</v>
      </c>
      <c r="L52">
        <v>1535650.2439407923</v>
      </c>
      <c r="M52">
        <v>1535650.2439407923</v>
      </c>
      <c r="N52">
        <v>1535650.2439407923</v>
      </c>
    </row>
    <row r="53" spans="1:14" x14ac:dyDescent="0.25">
      <c r="A53" s="49">
        <v>52</v>
      </c>
      <c r="B53" s="50">
        <v>0.06</v>
      </c>
      <c r="C53" s="50">
        <v>0.06</v>
      </c>
      <c r="D53" s="50">
        <v>-0.02</v>
      </c>
      <c r="E53" s="50">
        <v>-0.04</v>
      </c>
      <c r="F53" s="50">
        <v>-0.02</v>
      </c>
      <c r="G53" s="50">
        <v>0.05</v>
      </c>
      <c r="H53" s="50">
        <v>-0.02</v>
      </c>
      <c r="I53" s="50">
        <v>0.03</v>
      </c>
      <c r="J53" s="51">
        <v>0.05</v>
      </c>
      <c r="K53">
        <v>1538256.175630952</v>
      </c>
      <c r="L53">
        <v>1538256.175630952</v>
      </c>
      <c r="M53">
        <v>1538256.175630952</v>
      </c>
      <c r="N53">
        <v>1538256.175630952</v>
      </c>
    </row>
    <row r="54" spans="1:14" x14ac:dyDescent="0.25">
      <c r="A54" s="49">
        <v>53</v>
      </c>
      <c r="B54" s="50">
        <v>0.01</v>
      </c>
      <c r="C54" s="50">
        <v>0.04</v>
      </c>
      <c r="D54" s="50">
        <v>0.04</v>
      </c>
      <c r="E54" s="50">
        <v>0.03</v>
      </c>
      <c r="F54" s="50">
        <v>-0.02</v>
      </c>
      <c r="G54" s="50">
        <v>0.01</v>
      </c>
      <c r="H54" s="50">
        <v>0.02</v>
      </c>
      <c r="I54" s="50">
        <v>0.01</v>
      </c>
      <c r="J54" s="51">
        <v>-0.02</v>
      </c>
      <c r="K54">
        <v>1957906.6881512748</v>
      </c>
      <c r="L54">
        <v>1957906.6881512748</v>
      </c>
      <c r="M54">
        <v>1957906.6881512748</v>
      </c>
      <c r="N54">
        <v>1957906.6881512748</v>
      </c>
    </row>
    <row r="55" spans="1:14" x14ac:dyDescent="0.25">
      <c r="A55" s="49">
        <v>54</v>
      </c>
      <c r="B55" s="50">
        <v>0.04</v>
      </c>
      <c r="C55" s="50">
        <v>-0.02</v>
      </c>
      <c r="D55" s="50">
        <v>0.09</v>
      </c>
      <c r="E55" s="50">
        <v>-0.03</v>
      </c>
      <c r="F55" s="50">
        <v>0.01</v>
      </c>
      <c r="G55" s="50">
        <v>0.01</v>
      </c>
      <c r="H55" s="50">
        <v>7.0000000000000007E-2</v>
      </c>
      <c r="I55" s="50">
        <v>0.06</v>
      </c>
      <c r="J55" s="51">
        <v>7.0000000000000007E-2</v>
      </c>
      <c r="K55">
        <v>2283319.0467647789</v>
      </c>
      <c r="L55">
        <v>2283319.0467647789</v>
      </c>
      <c r="M55">
        <v>2283319.0467647789</v>
      </c>
      <c r="N55">
        <v>2283319.0467647789</v>
      </c>
    </row>
    <row r="56" spans="1:14" x14ac:dyDescent="0.25">
      <c r="A56" s="49">
        <v>55</v>
      </c>
      <c r="B56" s="50">
        <v>0.06</v>
      </c>
      <c r="C56" s="50">
        <v>-0.01</v>
      </c>
      <c r="D56" s="50">
        <v>-0.01</v>
      </c>
      <c r="E56" s="50">
        <v>0.02</v>
      </c>
      <c r="F56" s="50">
        <v>0.05</v>
      </c>
      <c r="G56" s="50">
        <v>7.0000000000000007E-2</v>
      </c>
      <c r="H56" s="50">
        <v>0.05</v>
      </c>
      <c r="I56" s="50">
        <v>0.06</v>
      </c>
      <c r="J56" s="51">
        <v>-0.01</v>
      </c>
      <c r="K56">
        <v>1622154.6417843639</v>
      </c>
      <c r="L56">
        <v>1622154.6417843639</v>
      </c>
      <c r="M56">
        <v>1622154.6417843639</v>
      </c>
      <c r="N56">
        <v>1622154.6417843639</v>
      </c>
    </row>
    <row r="57" spans="1:14" x14ac:dyDescent="0.25">
      <c r="A57" s="49">
        <v>56</v>
      </c>
      <c r="B57" s="50">
        <v>7.0000000000000007E-2</v>
      </c>
      <c r="C57" s="50">
        <v>0.09</v>
      </c>
      <c r="D57" s="50">
        <v>7.0000000000000007E-2</v>
      </c>
      <c r="E57" s="50">
        <v>0.01</v>
      </c>
      <c r="F57" s="50">
        <v>7.0000000000000007E-2</v>
      </c>
      <c r="G57" s="50">
        <v>0.05</v>
      </c>
      <c r="H57" s="50">
        <v>0.03</v>
      </c>
      <c r="I57" s="50">
        <v>0.06</v>
      </c>
      <c r="J57" s="51">
        <v>0.03</v>
      </c>
      <c r="K57">
        <v>2042269.28128316</v>
      </c>
      <c r="L57">
        <v>2042269.28128316</v>
      </c>
      <c r="M57">
        <v>2042269.28128316</v>
      </c>
      <c r="N57">
        <v>2042269.28128316</v>
      </c>
    </row>
    <row r="58" spans="1:14" x14ac:dyDescent="0.25">
      <c r="A58" s="49">
        <v>57</v>
      </c>
      <c r="B58" s="50">
        <v>0.03</v>
      </c>
      <c r="C58" s="50">
        <v>0.09</v>
      </c>
      <c r="D58" s="50">
        <v>0.02</v>
      </c>
      <c r="E58" s="50">
        <v>-0.04</v>
      </c>
      <c r="F58" s="50">
        <v>0.02</v>
      </c>
      <c r="G58" s="50">
        <v>7.0000000000000007E-2</v>
      </c>
      <c r="H58" s="50">
        <v>7.0000000000000007E-2</v>
      </c>
      <c r="I58" s="50">
        <v>-0.01</v>
      </c>
      <c r="J58" s="51">
        <v>-0.01</v>
      </c>
      <c r="K58">
        <v>1690849.296582235</v>
      </c>
      <c r="L58">
        <v>1690849.296582235</v>
      </c>
      <c r="M58">
        <v>1690849.296582235</v>
      </c>
      <c r="N58">
        <v>1690849.296582235</v>
      </c>
    </row>
    <row r="59" spans="1:14" x14ac:dyDescent="0.25">
      <c r="A59" s="49">
        <v>58</v>
      </c>
      <c r="B59" s="50">
        <v>-0.02</v>
      </c>
      <c r="C59" s="50">
        <v>0.09</v>
      </c>
      <c r="D59" s="50">
        <v>7.0000000000000007E-2</v>
      </c>
      <c r="E59" s="50">
        <v>0.05</v>
      </c>
      <c r="F59" s="50">
        <v>0.05</v>
      </c>
      <c r="G59" s="50">
        <v>0.03</v>
      </c>
      <c r="H59" s="50">
        <v>0.04</v>
      </c>
      <c r="I59" s="50">
        <v>-0.03</v>
      </c>
      <c r="J59" s="51">
        <v>0.01</v>
      </c>
      <c r="K59">
        <v>2056433.4040593088</v>
      </c>
      <c r="L59">
        <v>2056433.4040593088</v>
      </c>
      <c r="M59">
        <v>2056433.4040593088</v>
      </c>
      <c r="N59">
        <v>2056433.4040593088</v>
      </c>
    </row>
    <row r="60" spans="1:14" x14ac:dyDescent="0.25">
      <c r="A60" s="49">
        <v>59</v>
      </c>
      <c r="B60" s="50">
        <v>0.04</v>
      </c>
      <c r="C60" s="50">
        <v>0.01</v>
      </c>
      <c r="D60" s="50">
        <v>7.0000000000000007E-2</v>
      </c>
      <c r="E60" s="50">
        <v>-0.03</v>
      </c>
      <c r="F60" s="50">
        <v>0.02</v>
      </c>
      <c r="G60" s="50">
        <v>-0.03</v>
      </c>
      <c r="H60" s="50">
        <v>0.05</v>
      </c>
      <c r="I60" s="50">
        <v>0.02</v>
      </c>
      <c r="J60" s="51">
        <v>-0.02</v>
      </c>
      <c r="K60">
        <v>2154616.2642073282</v>
      </c>
      <c r="L60">
        <v>2154616.2642073282</v>
      </c>
      <c r="M60">
        <v>2154616.2642073282</v>
      </c>
      <c r="N60">
        <v>2154616.2642073282</v>
      </c>
    </row>
    <row r="61" spans="1:14" x14ac:dyDescent="0.25">
      <c r="A61" s="49">
        <v>60</v>
      </c>
      <c r="B61" s="50">
        <v>-0.02</v>
      </c>
      <c r="C61" s="50">
        <v>0.01</v>
      </c>
      <c r="D61" s="50">
        <v>0.03</v>
      </c>
      <c r="E61" s="50">
        <v>-0.05</v>
      </c>
      <c r="F61" s="50">
        <v>0.03</v>
      </c>
      <c r="G61" s="50">
        <v>0.05</v>
      </c>
      <c r="H61" s="50">
        <v>-0.02</v>
      </c>
      <c r="I61" s="50">
        <v>-0.01</v>
      </c>
      <c r="J61" s="51">
        <v>-0.02</v>
      </c>
      <c r="K61">
        <v>1787860.6476091971</v>
      </c>
      <c r="L61">
        <v>1787860.6476091971</v>
      </c>
      <c r="M61">
        <v>1787860.6476091971</v>
      </c>
      <c r="N61">
        <v>1787860.6476091971</v>
      </c>
    </row>
    <row r="62" spans="1:14" x14ac:dyDescent="0.25">
      <c r="A62" s="49">
        <v>61</v>
      </c>
      <c r="B62" s="50">
        <v>0.03</v>
      </c>
      <c r="C62" s="50">
        <v>-0.06</v>
      </c>
      <c r="D62" s="50">
        <v>0.02</v>
      </c>
      <c r="E62" s="50">
        <v>-0.02</v>
      </c>
      <c r="F62" s="50">
        <v>7.0000000000000007E-2</v>
      </c>
      <c r="G62" s="50">
        <v>-0.02</v>
      </c>
      <c r="H62" s="50">
        <v>0.04</v>
      </c>
      <c r="I62" s="50">
        <v>7.0000000000000007E-2</v>
      </c>
      <c r="J62" s="51">
        <v>-0.01</v>
      </c>
      <c r="K62">
        <v>1847662.7831016816</v>
      </c>
      <c r="L62">
        <v>1847662.7831016816</v>
      </c>
      <c r="M62">
        <v>1847662.7831016816</v>
      </c>
      <c r="N62">
        <v>1847662.7831016816</v>
      </c>
    </row>
    <row r="63" spans="1:14" x14ac:dyDescent="0.25">
      <c r="A63" s="49">
        <v>62</v>
      </c>
      <c r="B63" s="50">
        <v>0.04</v>
      </c>
      <c r="C63" s="50">
        <v>-0.05</v>
      </c>
      <c r="D63" s="50">
        <v>0.02</v>
      </c>
      <c r="E63" s="50">
        <v>-0.06</v>
      </c>
      <c r="F63" s="50">
        <v>0.06</v>
      </c>
      <c r="G63" s="50">
        <v>0.01</v>
      </c>
      <c r="H63" s="50">
        <v>0.03</v>
      </c>
      <c r="I63" s="50">
        <v>-0.02</v>
      </c>
      <c r="J63" s="51">
        <v>0.04</v>
      </c>
      <c r="K63">
        <v>1805343.4073470393</v>
      </c>
      <c r="L63">
        <v>1805343.4073470393</v>
      </c>
      <c r="M63">
        <v>1805343.4073470393</v>
      </c>
      <c r="N63">
        <v>1805343.4073470393</v>
      </c>
    </row>
    <row r="64" spans="1:14" x14ac:dyDescent="0.25">
      <c r="A64" s="49">
        <v>63</v>
      </c>
      <c r="B64" s="50">
        <v>-0.01</v>
      </c>
      <c r="C64" s="50">
        <v>-0.06</v>
      </c>
      <c r="D64" s="50">
        <v>0.05</v>
      </c>
      <c r="E64" s="50">
        <v>0.03</v>
      </c>
      <c r="F64" s="50">
        <v>0.01</v>
      </c>
      <c r="G64" s="50">
        <v>7.0000000000000007E-2</v>
      </c>
      <c r="H64" s="50">
        <v>0.02</v>
      </c>
      <c r="I64" s="50">
        <v>-0.02</v>
      </c>
      <c r="J64" s="51">
        <v>0.02</v>
      </c>
      <c r="K64">
        <v>2008301.0922483983</v>
      </c>
      <c r="L64">
        <v>2008301.0922483983</v>
      </c>
      <c r="M64">
        <v>2008301.0922483983</v>
      </c>
      <c r="N64">
        <v>2008301.0922483983</v>
      </c>
    </row>
    <row r="65" spans="1:14" x14ac:dyDescent="0.25">
      <c r="A65" s="49">
        <v>64</v>
      </c>
      <c r="B65" s="50">
        <v>0.04</v>
      </c>
      <c r="C65" s="50">
        <v>-0.03</v>
      </c>
      <c r="D65" s="50">
        <v>-0.02</v>
      </c>
      <c r="E65" s="50">
        <v>0.06</v>
      </c>
      <c r="F65" s="50">
        <v>-0.01</v>
      </c>
      <c r="G65" s="50">
        <v>0.02</v>
      </c>
      <c r="H65" s="50">
        <v>7.0000000000000007E-2</v>
      </c>
      <c r="I65" s="50">
        <v>-0.02</v>
      </c>
      <c r="J65" s="51">
        <v>0.01</v>
      </c>
      <c r="K65">
        <v>1675978.1911853298</v>
      </c>
      <c r="L65">
        <v>1675978.1911853298</v>
      </c>
      <c r="M65">
        <v>1675978.1911853298</v>
      </c>
      <c r="N65">
        <v>1675978.1911853298</v>
      </c>
    </row>
    <row r="66" spans="1:14" x14ac:dyDescent="0.25">
      <c r="A66" s="49">
        <v>65</v>
      </c>
      <c r="B66" s="50">
        <v>0.03</v>
      </c>
      <c r="C66" s="50">
        <v>0.09</v>
      </c>
      <c r="D66" s="50">
        <v>0.06</v>
      </c>
      <c r="E66" s="50">
        <v>7.0000000000000007E-2</v>
      </c>
      <c r="F66" s="50">
        <v>0.04</v>
      </c>
      <c r="G66" s="50">
        <v>0.01</v>
      </c>
      <c r="H66" s="50">
        <v>-0.02</v>
      </c>
      <c r="I66" s="50">
        <v>-0.02</v>
      </c>
      <c r="J66" s="51">
        <v>0.01</v>
      </c>
      <c r="K66">
        <v>2047112.0396083943</v>
      </c>
      <c r="L66">
        <v>2047112.0396083943</v>
      </c>
      <c r="M66">
        <v>2047112.0396083943</v>
      </c>
      <c r="N66">
        <v>2047112.0396083943</v>
      </c>
    </row>
    <row r="67" spans="1:14" x14ac:dyDescent="0.25">
      <c r="A67" s="49">
        <v>66</v>
      </c>
      <c r="B67" s="50">
        <v>7.0000000000000007E-2</v>
      </c>
      <c r="C67" s="50">
        <v>7.0000000000000007E-2</v>
      </c>
      <c r="D67" s="50">
        <v>0.01</v>
      </c>
      <c r="E67" s="50">
        <v>-0.04</v>
      </c>
      <c r="F67" s="50">
        <v>0.02</v>
      </c>
      <c r="G67" s="50">
        <v>0.01</v>
      </c>
      <c r="H67" s="50">
        <v>-0.01</v>
      </c>
      <c r="I67" s="50">
        <v>7.0000000000000007E-2</v>
      </c>
      <c r="J67" s="51">
        <v>-0.03</v>
      </c>
      <c r="K67">
        <v>1714177.2469064319</v>
      </c>
      <c r="L67">
        <v>1714177.2469064319</v>
      </c>
      <c r="M67">
        <v>1714177.2469064319</v>
      </c>
      <c r="N67">
        <v>1714177.2469064319</v>
      </c>
    </row>
    <row r="68" spans="1:14" x14ac:dyDescent="0.25">
      <c r="A68" s="49">
        <v>67</v>
      </c>
      <c r="B68" s="50">
        <v>0.01</v>
      </c>
      <c r="C68" s="50">
        <v>-7.0000000000000007E-2</v>
      </c>
      <c r="D68" s="50">
        <v>0.05</v>
      </c>
      <c r="E68" s="50">
        <v>0.05</v>
      </c>
      <c r="F68" s="50">
        <v>0.02</v>
      </c>
      <c r="G68" s="50">
        <v>0.02</v>
      </c>
      <c r="H68" s="50">
        <v>0.01</v>
      </c>
      <c r="I68" s="50">
        <v>0.05</v>
      </c>
      <c r="J68" s="51">
        <v>0.04</v>
      </c>
      <c r="K68">
        <v>2071342.8898696424</v>
      </c>
      <c r="L68">
        <v>2071342.8898696424</v>
      </c>
      <c r="M68">
        <v>2071342.8898696424</v>
      </c>
      <c r="N68">
        <v>2071342.8898696424</v>
      </c>
    </row>
    <row r="69" spans="1:14" x14ac:dyDescent="0.25">
      <c r="A69" s="49">
        <v>68</v>
      </c>
      <c r="B69" s="50">
        <v>0.01</v>
      </c>
      <c r="C69" s="50">
        <v>-0.06</v>
      </c>
      <c r="D69" s="50">
        <v>0.06</v>
      </c>
      <c r="E69" s="50">
        <v>-0.05</v>
      </c>
      <c r="F69" s="50">
        <v>0.03</v>
      </c>
      <c r="G69" s="50">
        <v>0.06</v>
      </c>
      <c r="H69" s="50">
        <v>0.01</v>
      </c>
      <c r="I69" s="50">
        <v>-0.01</v>
      </c>
      <c r="J69" s="51">
        <v>0.01</v>
      </c>
      <c r="K69">
        <v>2024707.7683552203</v>
      </c>
      <c r="L69">
        <v>2024707.7683552203</v>
      </c>
      <c r="M69">
        <v>2024707.7683552203</v>
      </c>
      <c r="N69">
        <v>2024707.7683552203</v>
      </c>
    </row>
    <row r="70" spans="1:14" x14ac:dyDescent="0.25">
      <c r="A70" s="49">
        <v>69</v>
      </c>
      <c r="B70" s="50">
        <v>0.03</v>
      </c>
      <c r="C70" s="50">
        <v>0.03</v>
      </c>
      <c r="D70" s="50">
        <v>0.03</v>
      </c>
      <c r="E70" s="50">
        <v>0.04</v>
      </c>
      <c r="F70" s="50">
        <v>0.01</v>
      </c>
      <c r="G70" s="50">
        <v>0.06</v>
      </c>
      <c r="H70" s="50">
        <v>0.03</v>
      </c>
      <c r="I70" s="50">
        <v>-0.03</v>
      </c>
      <c r="J70" s="51">
        <v>0.03</v>
      </c>
      <c r="K70">
        <v>1862535.7572667936</v>
      </c>
      <c r="L70">
        <v>1862535.7572667936</v>
      </c>
      <c r="M70">
        <v>1862535.7572667936</v>
      </c>
      <c r="N70">
        <v>1862535.7572667936</v>
      </c>
    </row>
    <row r="71" spans="1:14" x14ac:dyDescent="0.25">
      <c r="A71" s="49">
        <v>70</v>
      </c>
      <c r="B71" s="50">
        <v>0.05</v>
      </c>
      <c r="C71" s="50">
        <v>-0.03</v>
      </c>
      <c r="D71" s="50">
        <v>0.05</v>
      </c>
      <c r="E71" s="50">
        <v>-0.06</v>
      </c>
      <c r="F71" s="50">
        <v>0.06</v>
      </c>
      <c r="G71" s="50">
        <v>0.03</v>
      </c>
      <c r="H71" s="50">
        <v>0.02</v>
      </c>
      <c r="I71" s="50">
        <v>0.06</v>
      </c>
      <c r="J71" s="51">
        <v>-0.02</v>
      </c>
      <c r="K71">
        <v>1960458.3759680386</v>
      </c>
      <c r="L71">
        <v>1960458.3759680386</v>
      </c>
      <c r="M71">
        <v>1960458.3759680386</v>
      </c>
      <c r="N71">
        <v>1960458.3759680386</v>
      </c>
    </row>
    <row r="72" spans="1:14" x14ac:dyDescent="0.25">
      <c r="A72" s="49">
        <v>71</v>
      </c>
      <c r="B72" s="50">
        <v>0.05</v>
      </c>
      <c r="C72" s="50">
        <v>0.04</v>
      </c>
      <c r="D72" s="50">
        <v>0.02</v>
      </c>
      <c r="E72" s="50">
        <v>-0.02</v>
      </c>
      <c r="F72" s="50">
        <v>-0.02</v>
      </c>
      <c r="G72" s="50">
        <v>7.0000000000000007E-2</v>
      </c>
      <c r="H72" s="50">
        <v>0.02</v>
      </c>
      <c r="I72" s="50">
        <v>0.02</v>
      </c>
      <c r="J72" s="51">
        <v>0.04</v>
      </c>
      <c r="K72">
        <v>1772704.7917809086</v>
      </c>
      <c r="L72">
        <v>1772704.7917809086</v>
      </c>
      <c r="M72">
        <v>1772704.7917809086</v>
      </c>
      <c r="N72">
        <v>1772704.7917809086</v>
      </c>
    </row>
    <row r="73" spans="1:14" x14ac:dyDescent="0.25">
      <c r="A73" s="49">
        <v>72</v>
      </c>
      <c r="B73" s="50">
        <v>0.01</v>
      </c>
      <c r="C73" s="50">
        <v>7.0000000000000007E-2</v>
      </c>
      <c r="D73" s="50">
        <v>-0.01</v>
      </c>
      <c r="E73" s="50">
        <v>0.02</v>
      </c>
      <c r="F73" s="50">
        <v>0.02</v>
      </c>
      <c r="G73" s="50">
        <v>0.06</v>
      </c>
      <c r="H73" s="50">
        <v>0.02</v>
      </c>
      <c r="I73" s="50">
        <v>0.02</v>
      </c>
      <c r="J73" s="51">
        <v>0.01</v>
      </c>
      <c r="K73">
        <v>1570727.1100574895</v>
      </c>
      <c r="L73">
        <v>1570727.1100574895</v>
      </c>
      <c r="M73">
        <v>1570727.1100574895</v>
      </c>
      <c r="N73">
        <v>1570727.1100574895</v>
      </c>
    </row>
    <row r="74" spans="1:14" x14ac:dyDescent="0.25">
      <c r="A74" s="49">
        <v>73</v>
      </c>
      <c r="B74" s="50">
        <v>7.0000000000000007E-2</v>
      </c>
      <c r="C74" s="50">
        <v>7.0000000000000007E-2</v>
      </c>
      <c r="D74" s="50">
        <v>0.01</v>
      </c>
      <c r="E74" s="50">
        <v>7.0000000000000007E-2</v>
      </c>
      <c r="F74" s="50">
        <v>0.02</v>
      </c>
      <c r="G74" s="50">
        <v>-0.05</v>
      </c>
      <c r="H74" s="50">
        <v>-0.02</v>
      </c>
      <c r="I74" s="50">
        <v>-0.01</v>
      </c>
      <c r="J74" s="51">
        <v>0.03</v>
      </c>
      <c r="K74">
        <v>1834637.1102869748</v>
      </c>
      <c r="L74">
        <v>1834637.1102869748</v>
      </c>
      <c r="M74">
        <v>1834637.1102869748</v>
      </c>
      <c r="N74">
        <v>1834637.1102869748</v>
      </c>
    </row>
    <row r="75" spans="1:14" x14ac:dyDescent="0.25">
      <c r="A75" s="49">
        <v>74</v>
      </c>
      <c r="B75" s="50">
        <v>0.06</v>
      </c>
      <c r="C75" s="50">
        <v>0.06</v>
      </c>
      <c r="D75" s="50">
        <v>0.02</v>
      </c>
      <c r="E75" s="50">
        <v>0.02</v>
      </c>
      <c r="F75" s="50">
        <v>7.0000000000000007E-2</v>
      </c>
      <c r="G75" s="50">
        <v>0.04</v>
      </c>
      <c r="H75" s="50">
        <v>0.01</v>
      </c>
      <c r="I75" s="50">
        <v>0.08</v>
      </c>
      <c r="J75" s="51">
        <v>0.04</v>
      </c>
      <c r="K75">
        <v>1761423.9934272356</v>
      </c>
      <c r="L75">
        <v>1761423.9934272356</v>
      </c>
      <c r="M75">
        <v>1761423.9934272356</v>
      </c>
      <c r="N75">
        <v>1761423.9934272356</v>
      </c>
    </row>
    <row r="76" spans="1:14" x14ac:dyDescent="0.25">
      <c r="A76" s="49">
        <v>75</v>
      </c>
      <c r="B76" s="50">
        <v>7.0000000000000007E-2</v>
      </c>
      <c r="C76" s="50">
        <v>-7.0000000000000007E-2</v>
      </c>
      <c r="D76" s="50">
        <v>0.04</v>
      </c>
      <c r="E76" s="50">
        <v>-0.06</v>
      </c>
      <c r="F76" s="50">
        <v>0.01</v>
      </c>
      <c r="G76" s="50">
        <v>-0.04</v>
      </c>
      <c r="H76" s="50">
        <v>-0.01</v>
      </c>
      <c r="I76" s="50">
        <v>0.04</v>
      </c>
      <c r="J76" s="51">
        <v>0.06</v>
      </c>
      <c r="K76">
        <v>2019602.2968149569</v>
      </c>
      <c r="L76">
        <v>2019602.2968149569</v>
      </c>
      <c r="M76">
        <v>2019602.2968149569</v>
      </c>
      <c r="N76">
        <v>2019602.2968149569</v>
      </c>
    </row>
    <row r="77" spans="1:14" x14ac:dyDescent="0.25">
      <c r="A77" s="49">
        <v>76</v>
      </c>
      <c r="B77" s="50">
        <v>-0.01</v>
      </c>
      <c r="C77" s="50">
        <v>0.01</v>
      </c>
      <c r="D77" s="50">
        <v>7.0000000000000007E-2</v>
      </c>
      <c r="E77" s="50">
        <v>-0.06</v>
      </c>
      <c r="F77" s="50">
        <v>0.06</v>
      </c>
      <c r="G77" s="50">
        <v>7.0000000000000007E-2</v>
      </c>
      <c r="H77" s="50">
        <v>0.01</v>
      </c>
      <c r="I77" s="50">
        <v>-0.02</v>
      </c>
      <c r="J77" s="51">
        <v>7.0000000000000007E-2</v>
      </c>
      <c r="K77">
        <v>2004519.1686467587</v>
      </c>
      <c r="L77">
        <v>2004519.1686467587</v>
      </c>
      <c r="M77">
        <v>2004519.1686467587</v>
      </c>
      <c r="N77">
        <v>2004519.1686467587</v>
      </c>
    </row>
    <row r="78" spans="1:14" x14ac:dyDescent="0.25">
      <c r="A78" s="49">
        <v>77</v>
      </c>
      <c r="B78" s="50">
        <v>-0.02</v>
      </c>
      <c r="C78" s="50">
        <v>-0.08</v>
      </c>
      <c r="D78" s="50">
        <v>-0.02</v>
      </c>
      <c r="E78" s="50">
        <v>-0.01</v>
      </c>
      <c r="F78" s="50">
        <v>0.03</v>
      </c>
      <c r="G78" s="50">
        <v>-0.03</v>
      </c>
      <c r="H78" s="50">
        <v>0.04</v>
      </c>
      <c r="I78" s="50">
        <v>-0.03</v>
      </c>
      <c r="J78" s="51">
        <v>0.05</v>
      </c>
      <c r="K78">
        <v>1651519.6000488466</v>
      </c>
      <c r="L78">
        <v>1651519.6000488466</v>
      </c>
      <c r="M78">
        <v>1651519.6000488466</v>
      </c>
      <c r="N78">
        <v>1651519.6000488466</v>
      </c>
    </row>
    <row r="79" spans="1:14" x14ac:dyDescent="0.25">
      <c r="A79" s="49">
        <v>78</v>
      </c>
      <c r="B79" s="50">
        <v>0.06</v>
      </c>
      <c r="C79" s="50">
        <v>-0.05</v>
      </c>
      <c r="D79" s="50">
        <v>0.04</v>
      </c>
      <c r="E79" s="50">
        <v>-0.06</v>
      </c>
      <c r="F79" s="50">
        <v>0.06</v>
      </c>
      <c r="G79" s="50">
        <v>-0.01</v>
      </c>
      <c r="H79" s="50">
        <v>0.05</v>
      </c>
      <c r="I79" s="50">
        <v>0.04</v>
      </c>
      <c r="J79" s="51">
        <v>7.0000000000000007E-2</v>
      </c>
      <c r="K79">
        <v>1951987.7104233569</v>
      </c>
      <c r="L79">
        <v>1951987.7104233569</v>
      </c>
      <c r="M79">
        <v>1951987.7104233569</v>
      </c>
      <c r="N79">
        <v>1951987.7104233569</v>
      </c>
    </row>
    <row r="80" spans="1:14" x14ac:dyDescent="0.25">
      <c r="A80" s="49">
        <v>79</v>
      </c>
      <c r="B80" s="50">
        <v>0.01</v>
      </c>
      <c r="C80" s="50">
        <v>0.05</v>
      </c>
      <c r="D80" s="50">
        <v>0.02</v>
      </c>
      <c r="E80" s="50">
        <v>0.05</v>
      </c>
      <c r="F80" s="50">
        <v>0.03</v>
      </c>
      <c r="G80" s="50">
        <v>-0.04</v>
      </c>
      <c r="H80" s="50">
        <v>0.03</v>
      </c>
      <c r="I80" s="50">
        <v>-0.03</v>
      </c>
      <c r="J80" s="51">
        <v>0.03</v>
      </c>
      <c r="K80">
        <v>1855632.4190252312</v>
      </c>
      <c r="L80">
        <v>1855632.4190252312</v>
      </c>
      <c r="M80">
        <v>1855632.4190252312</v>
      </c>
      <c r="N80">
        <v>1855632.4190252312</v>
      </c>
    </row>
    <row r="81" spans="1:14" x14ac:dyDescent="0.25">
      <c r="A81" s="49">
        <v>80</v>
      </c>
      <c r="B81" s="50">
        <v>-0.02</v>
      </c>
      <c r="C81" s="50">
        <v>-0.05</v>
      </c>
      <c r="D81" s="50">
        <v>7.0000000000000007E-2</v>
      </c>
      <c r="E81" s="50">
        <v>0.06</v>
      </c>
      <c r="F81" s="50">
        <v>7.0000000000000007E-2</v>
      </c>
      <c r="G81" s="50">
        <v>0.06</v>
      </c>
      <c r="H81" s="50">
        <v>7.0000000000000007E-2</v>
      </c>
      <c r="I81" s="50">
        <v>0.05</v>
      </c>
      <c r="J81" s="51">
        <v>0.06</v>
      </c>
      <c r="K81">
        <v>2117580.8155211289</v>
      </c>
      <c r="L81">
        <v>2117580.8155211289</v>
      </c>
      <c r="M81">
        <v>2117580.8155211289</v>
      </c>
      <c r="N81">
        <v>2117580.8155211289</v>
      </c>
    </row>
    <row r="82" spans="1:14" x14ac:dyDescent="0.25">
      <c r="A82" s="49">
        <v>81</v>
      </c>
      <c r="B82" s="50">
        <v>0.03</v>
      </c>
      <c r="C82" s="50">
        <v>-0.06</v>
      </c>
      <c r="D82" s="50">
        <v>-0.01</v>
      </c>
      <c r="E82" s="50">
        <v>-0.03</v>
      </c>
      <c r="F82" s="50">
        <v>0.06</v>
      </c>
      <c r="G82" s="50">
        <v>-0.03</v>
      </c>
      <c r="H82" s="50">
        <v>0.01</v>
      </c>
      <c r="I82" s="50">
        <v>-0.03</v>
      </c>
      <c r="J82" s="51">
        <v>0.06</v>
      </c>
      <c r="K82">
        <v>1686455.802131644</v>
      </c>
      <c r="L82">
        <v>1686455.802131644</v>
      </c>
      <c r="M82">
        <v>1686455.802131644</v>
      </c>
      <c r="N82">
        <v>1686455.802131644</v>
      </c>
    </row>
    <row r="83" spans="1:14" x14ac:dyDescent="0.25">
      <c r="A83" s="49">
        <v>82</v>
      </c>
      <c r="B83" s="50">
        <v>-0.02</v>
      </c>
      <c r="C83" s="50">
        <v>0.01</v>
      </c>
      <c r="D83" s="50">
        <v>-0.02</v>
      </c>
      <c r="E83" s="50">
        <v>0.03</v>
      </c>
      <c r="F83" s="50">
        <v>0.05</v>
      </c>
      <c r="G83" s="50">
        <v>0.01</v>
      </c>
      <c r="H83" s="50">
        <v>0.04</v>
      </c>
      <c r="I83" s="50">
        <v>7.0000000000000007E-2</v>
      </c>
      <c r="J83" s="51">
        <v>0.01</v>
      </c>
      <c r="K83">
        <v>1574221.3512739185</v>
      </c>
      <c r="L83">
        <v>1574221.3512739185</v>
      </c>
      <c r="M83">
        <v>1574221.3512739185</v>
      </c>
      <c r="N83">
        <v>1574221.3512739185</v>
      </c>
    </row>
    <row r="84" spans="1:14" x14ac:dyDescent="0.25">
      <c r="A84" s="49">
        <v>83</v>
      </c>
      <c r="B84" s="50">
        <v>0.03</v>
      </c>
      <c r="C84" s="50">
        <v>0.08</v>
      </c>
      <c r="D84" s="50">
        <v>7.0000000000000007E-2</v>
      </c>
      <c r="E84" s="50">
        <v>-0.05</v>
      </c>
      <c r="F84" s="50">
        <v>0.02</v>
      </c>
      <c r="G84" s="50">
        <v>0.03</v>
      </c>
      <c r="H84" s="50">
        <v>0.06</v>
      </c>
      <c r="I84" s="50">
        <v>-0.02</v>
      </c>
      <c r="J84" s="51">
        <v>0.06</v>
      </c>
      <c r="K84">
        <v>2041374.4726262214</v>
      </c>
      <c r="L84">
        <v>2041374.4726262214</v>
      </c>
      <c r="M84">
        <v>2041374.4726262214</v>
      </c>
      <c r="N84">
        <v>2041374.4726262214</v>
      </c>
    </row>
    <row r="85" spans="1:14" x14ac:dyDescent="0.25">
      <c r="A85" s="49">
        <v>84</v>
      </c>
      <c r="B85" s="50">
        <v>0.05</v>
      </c>
      <c r="C85" s="50">
        <v>-0.01</v>
      </c>
      <c r="D85" s="50">
        <v>7.0000000000000007E-2</v>
      </c>
      <c r="E85" s="50">
        <v>7.0000000000000007E-2</v>
      </c>
      <c r="F85" s="50">
        <v>-0.02</v>
      </c>
      <c r="G85" s="50">
        <v>-0.01</v>
      </c>
      <c r="H85" s="50">
        <v>0.01</v>
      </c>
      <c r="I85" s="50">
        <v>-0.01</v>
      </c>
      <c r="J85" s="51">
        <v>0.02</v>
      </c>
      <c r="K85">
        <v>2243151.5892464826</v>
      </c>
      <c r="L85">
        <v>2243151.5892464826</v>
      </c>
      <c r="M85">
        <v>2243151.5892464826</v>
      </c>
      <c r="N85">
        <v>2243151.5892464826</v>
      </c>
    </row>
    <row r="86" spans="1:14" x14ac:dyDescent="0.25">
      <c r="A86" s="49">
        <v>85</v>
      </c>
      <c r="B86" s="50">
        <v>0.01</v>
      </c>
      <c r="C86" s="50">
        <v>0.06</v>
      </c>
      <c r="D86" s="50">
        <v>0.08</v>
      </c>
      <c r="E86" s="50">
        <v>0.05</v>
      </c>
      <c r="F86" s="50">
        <v>-0.02</v>
      </c>
      <c r="G86" s="50">
        <v>0.05</v>
      </c>
      <c r="H86" s="50">
        <v>0.05</v>
      </c>
      <c r="I86" s="50">
        <v>0.03</v>
      </c>
      <c r="J86" s="51">
        <v>-0.01</v>
      </c>
      <c r="K86">
        <v>2179011.6250885036</v>
      </c>
      <c r="L86">
        <v>2179011.6250885036</v>
      </c>
      <c r="M86">
        <v>2179011.6250885036</v>
      </c>
      <c r="N86">
        <v>2179011.6250885036</v>
      </c>
    </row>
    <row r="87" spans="1:14" x14ac:dyDescent="0.25">
      <c r="A87" s="49">
        <v>86</v>
      </c>
      <c r="B87" s="50">
        <v>0.04</v>
      </c>
      <c r="C87" s="50">
        <v>0.02</v>
      </c>
      <c r="D87" s="50">
        <v>0.05</v>
      </c>
      <c r="E87" s="50">
        <v>7.0000000000000007E-2</v>
      </c>
      <c r="F87" s="50">
        <v>-0.01</v>
      </c>
      <c r="G87" s="50">
        <v>0.05</v>
      </c>
      <c r="H87" s="50">
        <v>0.06</v>
      </c>
      <c r="I87" s="50">
        <v>0.09</v>
      </c>
      <c r="J87" s="51">
        <v>0.04</v>
      </c>
      <c r="K87">
        <v>2032198.0416975385</v>
      </c>
      <c r="L87">
        <v>2032198.0416975385</v>
      </c>
      <c r="M87">
        <v>2032198.0416975385</v>
      </c>
      <c r="N87">
        <v>2032198.0416975385</v>
      </c>
    </row>
    <row r="88" spans="1:14" x14ac:dyDescent="0.25">
      <c r="A88" s="49">
        <v>87</v>
      </c>
      <c r="B88" s="50">
        <v>-0.02</v>
      </c>
      <c r="C88" s="50">
        <v>-0.02</v>
      </c>
      <c r="D88" s="50">
        <v>0.03</v>
      </c>
      <c r="E88" s="50">
        <v>0.04</v>
      </c>
      <c r="F88" s="50">
        <v>0.06</v>
      </c>
      <c r="G88" s="50">
        <v>-0.02</v>
      </c>
      <c r="H88" s="50">
        <v>0.02</v>
      </c>
      <c r="I88" s="50">
        <v>0.01</v>
      </c>
      <c r="J88" s="51">
        <v>0.05</v>
      </c>
      <c r="K88">
        <v>1908635.1920937509</v>
      </c>
      <c r="L88">
        <v>1908635.1920937509</v>
      </c>
      <c r="M88">
        <v>1908635.1920937509</v>
      </c>
      <c r="N88">
        <v>1908635.1920937509</v>
      </c>
    </row>
    <row r="89" spans="1:14" x14ac:dyDescent="0.25">
      <c r="A89" s="49">
        <v>88</v>
      </c>
      <c r="B89" s="50">
        <v>0.03</v>
      </c>
      <c r="C89" s="50">
        <v>0.04</v>
      </c>
      <c r="D89" s="50">
        <v>7.0000000000000007E-2</v>
      </c>
      <c r="E89" s="50">
        <v>-0.03</v>
      </c>
      <c r="F89" s="50">
        <v>0.06</v>
      </c>
      <c r="G89" s="50">
        <v>-0.05</v>
      </c>
      <c r="H89" s="50">
        <v>0.06</v>
      </c>
      <c r="I89" s="50">
        <v>0.04</v>
      </c>
      <c r="J89" s="51">
        <v>-0.03</v>
      </c>
      <c r="K89">
        <v>2119270.9944922011</v>
      </c>
      <c r="L89">
        <v>2119270.9944922011</v>
      </c>
      <c r="M89">
        <v>2119270.9944922011</v>
      </c>
      <c r="N89">
        <v>2119270.9944922011</v>
      </c>
    </row>
    <row r="90" spans="1:14" x14ac:dyDescent="0.25">
      <c r="A90" s="49">
        <v>89</v>
      </c>
      <c r="B90" s="50">
        <v>0.05</v>
      </c>
      <c r="C90" s="50">
        <v>0.03</v>
      </c>
      <c r="D90" s="50">
        <v>0.05</v>
      </c>
      <c r="E90" s="50">
        <v>0.04</v>
      </c>
      <c r="F90" s="50">
        <v>-0.02</v>
      </c>
      <c r="G90" s="50">
        <v>0.02</v>
      </c>
      <c r="H90" s="50">
        <v>0.01</v>
      </c>
      <c r="I90" s="50">
        <v>0.06</v>
      </c>
      <c r="J90" s="51">
        <v>0.06</v>
      </c>
      <c r="K90">
        <v>2044592.515939479</v>
      </c>
      <c r="L90">
        <v>2044592.515939479</v>
      </c>
      <c r="M90">
        <v>2044592.515939479</v>
      </c>
      <c r="N90">
        <v>2044592.515939479</v>
      </c>
    </row>
    <row r="91" spans="1:14" x14ac:dyDescent="0.25">
      <c r="A91" s="49">
        <v>90</v>
      </c>
      <c r="B91" s="50">
        <v>-0.01</v>
      </c>
      <c r="C91" s="50">
        <v>-0.03</v>
      </c>
      <c r="D91" s="50">
        <v>0.09</v>
      </c>
      <c r="E91" s="50">
        <v>-0.04</v>
      </c>
      <c r="F91" s="50">
        <v>0.03</v>
      </c>
      <c r="G91" s="50">
        <v>-0.05</v>
      </c>
      <c r="H91" s="50">
        <v>0.06</v>
      </c>
      <c r="I91" s="50">
        <v>-0.01</v>
      </c>
      <c r="J91" s="51">
        <v>0.04</v>
      </c>
      <c r="K91">
        <v>2295340.2112828977</v>
      </c>
      <c r="L91">
        <v>2295340.2112828977</v>
      </c>
      <c r="M91">
        <v>2295340.2112828977</v>
      </c>
      <c r="N91">
        <v>2295340.2112828977</v>
      </c>
    </row>
    <row r="92" spans="1:14" x14ac:dyDescent="0.25">
      <c r="A92" s="49">
        <v>91</v>
      </c>
      <c r="B92" s="50">
        <v>0.04</v>
      </c>
      <c r="C92" s="50">
        <v>-0.02</v>
      </c>
      <c r="D92" s="50">
        <v>0.01</v>
      </c>
      <c r="E92" s="50">
        <v>-0.06</v>
      </c>
      <c r="F92" s="50">
        <v>0.01</v>
      </c>
      <c r="G92" s="50">
        <v>0.04</v>
      </c>
      <c r="H92" s="50">
        <v>-0.02</v>
      </c>
      <c r="I92" s="50">
        <v>0.01</v>
      </c>
      <c r="J92" s="51">
        <v>0.04</v>
      </c>
      <c r="K92">
        <v>1730373.0735211992</v>
      </c>
      <c r="L92">
        <v>1730373.0735211992</v>
      </c>
      <c r="M92">
        <v>1730373.0735211992</v>
      </c>
      <c r="N92">
        <v>1730373.0735211992</v>
      </c>
    </row>
    <row r="93" spans="1:14" x14ac:dyDescent="0.25">
      <c r="A93" s="49">
        <v>92</v>
      </c>
      <c r="B93" s="50">
        <v>7.0000000000000007E-2</v>
      </c>
      <c r="C93" s="50">
        <v>-0.02</v>
      </c>
      <c r="D93" s="50">
        <v>0.01</v>
      </c>
      <c r="E93" s="50">
        <v>0.06</v>
      </c>
      <c r="F93" s="50">
        <v>-0.02</v>
      </c>
      <c r="G93" s="50">
        <v>0.03</v>
      </c>
      <c r="H93" s="50">
        <v>0.05</v>
      </c>
      <c r="I93" s="50">
        <v>-0.02</v>
      </c>
      <c r="J93" s="51">
        <v>-0.01</v>
      </c>
      <c r="K93">
        <v>1850466.3802392795</v>
      </c>
      <c r="L93">
        <v>1850466.3802392795</v>
      </c>
      <c r="M93">
        <v>1850466.3802392795</v>
      </c>
      <c r="N93">
        <v>1850466.3802392795</v>
      </c>
    </row>
    <row r="94" spans="1:14" x14ac:dyDescent="0.25">
      <c r="A94" s="49">
        <v>93</v>
      </c>
      <c r="B94" s="50">
        <v>0.06</v>
      </c>
      <c r="C94" s="50">
        <v>0.04</v>
      </c>
      <c r="D94" s="50">
        <v>7.0000000000000007E-2</v>
      </c>
      <c r="E94" s="50">
        <v>0.06</v>
      </c>
      <c r="F94" s="50">
        <v>0.02</v>
      </c>
      <c r="G94" s="50">
        <v>-0.03</v>
      </c>
      <c r="H94" s="50">
        <v>-0.01</v>
      </c>
      <c r="I94" s="50">
        <v>0.03</v>
      </c>
      <c r="J94" s="51">
        <v>0.06</v>
      </c>
      <c r="K94">
        <v>2201455.3029207136</v>
      </c>
      <c r="L94">
        <v>2201455.3029207136</v>
      </c>
      <c r="M94">
        <v>2201455.3029207136</v>
      </c>
      <c r="N94">
        <v>2201455.3029207136</v>
      </c>
    </row>
    <row r="95" spans="1:14" x14ac:dyDescent="0.25">
      <c r="A95" s="49">
        <v>94</v>
      </c>
      <c r="B95" s="50">
        <v>0.04</v>
      </c>
      <c r="C95" s="50">
        <v>0.09</v>
      </c>
      <c r="D95" s="50">
        <v>0.06</v>
      </c>
      <c r="E95" s="50">
        <v>0.04</v>
      </c>
      <c r="F95" s="50">
        <v>-0.02</v>
      </c>
      <c r="G95" s="50">
        <v>0.02</v>
      </c>
      <c r="H95" s="50">
        <v>0.06</v>
      </c>
      <c r="I95" s="50">
        <v>0.01</v>
      </c>
      <c r="J95" s="51">
        <v>0.05</v>
      </c>
      <c r="K95">
        <v>2062285.9346736236</v>
      </c>
      <c r="L95">
        <v>2062285.9346736236</v>
      </c>
      <c r="M95">
        <v>2062285.9346736236</v>
      </c>
      <c r="N95">
        <v>2062285.9346736236</v>
      </c>
    </row>
    <row r="96" spans="1:14" x14ac:dyDescent="0.25">
      <c r="A96" s="49">
        <v>95</v>
      </c>
      <c r="B96" s="50">
        <v>0.04</v>
      </c>
      <c r="C96" s="50">
        <v>0.01</v>
      </c>
      <c r="D96" s="50">
        <v>0.02</v>
      </c>
      <c r="E96" s="50">
        <v>0.05</v>
      </c>
      <c r="F96" s="50">
        <v>-0.02</v>
      </c>
      <c r="G96" s="50">
        <v>-0.06</v>
      </c>
      <c r="H96" s="50">
        <v>0.02</v>
      </c>
      <c r="I96" s="50">
        <v>-0.01</v>
      </c>
      <c r="J96" s="51">
        <v>0.02</v>
      </c>
      <c r="K96">
        <v>1938998.5112827909</v>
      </c>
      <c r="L96">
        <v>1938998.5112827909</v>
      </c>
      <c r="M96">
        <v>1938998.5112827909</v>
      </c>
      <c r="N96">
        <v>1938998.5112827909</v>
      </c>
    </row>
    <row r="97" spans="1:14" x14ac:dyDescent="0.25">
      <c r="A97" s="49">
        <v>96</v>
      </c>
      <c r="B97" s="50">
        <v>0.02</v>
      </c>
      <c r="C97" s="50">
        <v>-0.08</v>
      </c>
      <c r="D97" s="50">
        <v>0.03</v>
      </c>
      <c r="E97" s="50">
        <v>0.02</v>
      </c>
      <c r="F97" s="50">
        <v>7.0000000000000007E-2</v>
      </c>
      <c r="G97" s="50">
        <v>0.02</v>
      </c>
      <c r="H97" s="50">
        <v>0.04</v>
      </c>
      <c r="I97" s="50">
        <v>-0.06</v>
      </c>
      <c r="J97" s="51">
        <v>0.03</v>
      </c>
      <c r="K97">
        <v>1913672.5576269017</v>
      </c>
      <c r="L97">
        <v>1913672.5576269017</v>
      </c>
      <c r="M97">
        <v>1913672.5576269017</v>
      </c>
      <c r="N97">
        <v>1913672.5576269017</v>
      </c>
    </row>
    <row r="98" spans="1:14" x14ac:dyDescent="0.25">
      <c r="A98" s="49">
        <v>97</v>
      </c>
      <c r="B98" s="50">
        <v>-0.02</v>
      </c>
      <c r="C98" s="50">
        <v>-7.0000000000000007E-2</v>
      </c>
      <c r="D98" s="50">
        <v>0.05</v>
      </c>
      <c r="E98" s="50">
        <v>0.05</v>
      </c>
      <c r="F98" s="50">
        <v>0.04</v>
      </c>
      <c r="G98" s="50">
        <v>0.04</v>
      </c>
      <c r="H98" s="50">
        <v>0.02</v>
      </c>
      <c r="I98" s="50">
        <v>0.02</v>
      </c>
      <c r="J98" s="51">
        <v>0.02</v>
      </c>
      <c r="K98">
        <v>2029703.4948010975</v>
      </c>
      <c r="L98">
        <v>2029703.4948010975</v>
      </c>
      <c r="M98">
        <v>2029703.4948010975</v>
      </c>
      <c r="N98">
        <v>2029703.4948010975</v>
      </c>
    </row>
    <row r="99" spans="1:14" x14ac:dyDescent="0.25">
      <c r="A99" s="49">
        <v>98</v>
      </c>
      <c r="B99" s="50">
        <v>7.0000000000000007E-2</v>
      </c>
      <c r="C99" s="50">
        <v>-0.06</v>
      </c>
      <c r="D99" s="50">
        <v>0.06</v>
      </c>
      <c r="E99" s="50">
        <v>0.01</v>
      </c>
      <c r="F99" s="50">
        <v>-0.01</v>
      </c>
      <c r="G99" s="50">
        <v>0.01</v>
      </c>
      <c r="H99" s="50">
        <v>0.05</v>
      </c>
      <c r="I99" s="50">
        <v>0.04</v>
      </c>
      <c r="J99" s="51">
        <v>-0.02</v>
      </c>
      <c r="K99">
        <v>2159326.6838138197</v>
      </c>
      <c r="L99">
        <v>2159326.6838138197</v>
      </c>
      <c r="M99">
        <v>2159326.6838138197</v>
      </c>
      <c r="N99">
        <v>2159326.6838138197</v>
      </c>
    </row>
    <row r="100" spans="1:14" x14ac:dyDescent="0.25">
      <c r="A100" s="49">
        <v>99</v>
      </c>
      <c r="B100" s="50">
        <v>0.01</v>
      </c>
      <c r="C100" s="50">
        <v>-0.02</v>
      </c>
      <c r="D100" s="50">
        <v>-0.02</v>
      </c>
      <c r="E100" s="50">
        <v>0.04</v>
      </c>
      <c r="F100" s="50">
        <v>7.0000000000000007E-2</v>
      </c>
      <c r="G100" s="50">
        <v>-0.01</v>
      </c>
      <c r="H100" s="50">
        <v>7.0000000000000007E-2</v>
      </c>
      <c r="I100" s="50">
        <v>0.04</v>
      </c>
      <c r="J100" s="51">
        <v>7.0000000000000007E-2</v>
      </c>
      <c r="K100">
        <v>1620358.2657905119</v>
      </c>
      <c r="L100">
        <v>1620358.2657905119</v>
      </c>
      <c r="M100">
        <v>1620358.2657905119</v>
      </c>
      <c r="N100">
        <v>1620358.2657905119</v>
      </c>
    </row>
    <row r="101" spans="1:14" x14ac:dyDescent="0.25">
      <c r="A101" s="52">
        <v>100</v>
      </c>
      <c r="B101" s="53">
        <v>-0.01</v>
      </c>
      <c r="C101" s="53">
        <v>-0.01</v>
      </c>
      <c r="D101" s="53">
        <v>0.02</v>
      </c>
      <c r="E101" s="53">
        <v>0.02</v>
      </c>
      <c r="F101" s="53">
        <v>-0.02</v>
      </c>
      <c r="G101" s="53">
        <v>0.02</v>
      </c>
      <c r="H101" s="53">
        <v>0.02</v>
      </c>
      <c r="I101" s="53">
        <v>-0.03</v>
      </c>
      <c r="J101" s="54">
        <v>0.06</v>
      </c>
      <c r="K101">
        <v>1850069.4930911702</v>
      </c>
      <c r="L101">
        <v>1850069.4930911702</v>
      </c>
      <c r="M101">
        <v>1850069.4930911702</v>
      </c>
      <c r="N101">
        <v>1850069.4930911702</v>
      </c>
    </row>
  </sheetData>
  <phoneticPr fontId="10" type="noConversion"/>
  <conditionalFormatting sqref="A2:J10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2021 Income Statement</vt:lpstr>
      <vt:lpstr>Annual Change Calculator</vt:lpstr>
      <vt:lpstr>Forcast 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rokhsareh ghorbani</cp:lastModifiedBy>
  <dcterms:created xsi:type="dcterms:W3CDTF">2021-09-19T01:10:25Z</dcterms:created>
  <dcterms:modified xsi:type="dcterms:W3CDTF">2024-04-11T00:57:12Z</dcterms:modified>
</cp:coreProperties>
</file>